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5b06277083f53fa0/Desktop/Premier-League-Goalkeeper-Analysis/analysis/"/>
    </mc:Choice>
  </mc:AlternateContent>
  <xr:revisionPtr revIDLastSave="52" documentId="11_75D2459722ED7709D4878806D115826BB1758938" xr6:coauthVersionLast="47" xr6:coauthVersionMax="47" xr10:uidLastSave="{C069AB0E-92CA-415F-88F8-2A27CB48158C}"/>
  <bookViews>
    <workbookView xWindow="180" yWindow="825" windowWidth="21600" windowHeight="11385" activeTab="1" xr2:uid="{00000000-000D-0000-FFFF-FFFF00000000}"/>
  </bookViews>
  <sheets>
    <sheet name="Raw Data" sheetId="2" r:id="rId1"/>
    <sheet name="Clean Data" sheetId="3" r:id="rId2"/>
    <sheet name="Correlations" sheetId="4" r:id="rId3"/>
    <sheet name="Dashboard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4" l="1"/>
  <c r="D7" i="4"/>
  <c r="D6" i="4"/>
  <c r="C5" i="4"/>
  <c r="A10" i="5" s="1"/>
  <c r="E4" i="5"/>
  <c r="D8" i="4"/>
  <c r="C8" i="4"/>
  <c r="A4" i="5"/>
  <c r="D10" i="4"/>
  <c r="C10" i="4"/>
  <c r="C9" i="4"/>
  <c r="D9" i="4" s="1"/>
  <c r="C7" i="4"/>
  <c r="C6" i="4"/>
  <c r="W41" i="3"/>
  <c r="V41" i="3"/>
  <c r="U41" i="3"/>
  <c r="T41" i="3"/>
  <c r="S41" i="3"/>
  <c r="W40" i="3"/>
  <c r="V40" i="3"/>
  <c r="U40" i="3"/>
  <c r="T40" i="3"/>
  <c r="S40" i="3"/>
  <c r="W39" i="3"/>
  <c r="V39" i="3"/>
  <c r="U39" i="3"/>
  <c r="T39" i="3"/>
  <c r="S39" i="3"/>
  <c r="W38" i="3"/>
  <c r="V38" i="3"/>
  <c r="U38" i="3"/>
  <c r="T38" i="3"/>
  <c r="S38" i="3"/>
  <c r="W37" i="3"/>
  <c r="V37" i="3"/>
  <c r="U37" i="3"/>
  <c r="T37" i="3"/>
  <c r="S37" i="3"/>
  <c r="W36" i="3"/>
  <c r="V36" i="3"/>
  <c r="U36" i="3"/>
  <c r="T36" i="3"/>
  <c r="S36" i="3"/>
  <c r="W35" i="3"/>
  <c r="V35" i="3"/>
  <c r="U35" i="3"/>
  <c r="T35" i="3"/>
  <c r="S35" i="3"/>
  <c r="W34" i="3"/>
  <c r="V34" i="3"/>
  <c r="U34" i="3"/>
  <c r="T34" i="3"/>
  <c r="S34" i="3"/>
  <c r="W33" i="3"/>
  <c r="V33" i="3"/>
  <c r="U33" i="3"/>
  <c r="T33" i="3"/>
  <c r="S33" i="3"/>
  <c r="W32" i="3"/>
  <c r="V32" i="3"/>
  <c r="U32" i="3"/>
  <c r="T32" i="3"/>
  <c r="S32" i="3"/>
  <c r="W31" i="3"/>
  <c r="V31" i="3"/>
  <c r="U31" i="3"/>
  <c r="T31" i="3"/>
  <c r="S31" i="3"/>
  <c r="W30" i="3"/>
  <c r="V30" i="3"/>
  <c r="U30" i="3"/>
  <c r="T30" i="3"/>
  <c r="S30" i="3"/>
  <c r="W29" i="3"/>
  <c r="V29" i="3"/>
  <c r="U29" i="3"/>
  <c r="T29" i="3"/>
  <c r="S29" i="3"/>
  <c r="W28" i="3"/>
  <c r="V28" i="3"/>
  <c r="U28" i="3"/>
  <c r="T28" i="3"/>
  <c r="S28" i="3"/>
  <c r="W27" i="3"/>
  <c r="V27" i="3"/>
  <c r="U27" i="3"/>
  <c r="T27" i="3"/>
  <c r="S27" i="3"/>
  <c r="W26" i="3"/>
  <c r="V26" i="3"/>
  <c r="U26" i="3"/>
  <c r="T26" i="3"/>
  <c r="S26" i="3"/>
  <c r="W25" i="3"/>
  <c r="V25" i="3"/>
  <c r="U25" i="3"/>
  <c r="T25" i="3"/>
  <c r="S25" i="3"/>
  <c r="W24" i="3"/>
  <c r="V24" i="3"/>
  <c r="U24" i="3"/>
  <c r="T24" i="3"/>
  <c r="S24" i="3"/>
  <c r="W23" i="3"/>
  <c r="V23" i="3"/>
  <c r="U23" i="3"/>
  <c r="T23" i="3"/>
  <c r="S23" i="3"/>
  <c r="W22" i="3"/>
  <c r="V22" i="3"/>
  <c r="U22" i="3"/>
  <c r="T22" i="3"/>
  <c r="S22" i="3"/>
  <c r="W21" i="3"/>
  <c r="V21" i="3"/>
  <c r="U21" i="3"/>
  <c r="T21" i="3"/>
  <c r="S21" i="3"/>
  <c r="W20" i="3"/>
  <c r="V20" i="3"/>
  <c r="U20" i="3"/>
  <c r="T20" i="3"/>
  <c r="S20" i="3"/>
  <c r="W19" i="3"/>
  <c r="V19" i="3"/>
  <c r="U19" i="3"/>
  <c r="T19" i="3"/>
  <c r="S19" i="3"/>
  <c r="W18" i="3"/>
  <c r="V18" i="3"/>
  <c r="U18" i="3"/>
  <c r="T18" i="3"/>
  <c r="S18" i="3"/>
  <c r="W17" i="3"/>
  <c r="V17" i="3"/>
  <c r="U17" i="3"/>
  <c r="T17" i="3"/>
  <c r="S17" i="3"/>
  <c r="W16" i="3"/>
  <c r="V16" i="3"/>
  <c r="U16" i="3"/>
  <c r="T16" i="3"/>
  <c r="S16" i="3"/>
  <c r="W15" i="3"/>
  <c r="V15" i="3"/>
  <c r="U15" i="3"/>
  <c r="T15" i="3"/>
  <c r="S15" i="3"/>
  <c r="W14" i="3"/>
  <c r="V14" i="3"/>
  <c r="U14" i="3"/>
  <c r="T14" i="3"/>
  <c r="S14" i="3"/>
  <c r="W13" i="3"/>
  <c r="V13" i="3"/>
  <c r="U13" i="3"/>
  <c r="T13" i="3"/>
  <c r="S13" i="3"/>
  <c r="W12" i="3"/>
  <c r="V12" i="3"/>
  <c r="U12" i="3"/>
  <c r="T12" i="3"/>
  <c r="S12" i="3"/>
  <c r="W11" i="3"/>
  <c r="V11" i="3"/>
  <c r="U11" i="3"/>
  <c r="T11" i="3"/>
  <c r="S11" i="3"/>
  <c r="W10" i="3"/>
  <c r="V10" i="3"/>
  <c r="U10" i="3"/>
  <c r="T10" i="3"/>
  <c r="S10" i="3"/>
  <c r="W9" i="3"/>
  <c r="V9" i="3"/>
  <c r="U9" i="3"/>
  <c r="T9" i="3"/>
  <c r="S9" i="3"/>
  <c r="W8" i="3"/>
  <c r="V8" i="3"/>
  <c r="U8" i="3"/>
  <c r="T8" i="3"/>
  <c r="S8" i="3"/>
  <c r="W7" i="3"/>
  <c r="V7" i="3"/>
  <c r="U7" i="3"/>
  <c r="T7" i="3"/>
  <c r="S7" i="3"/>
  <c r="W6" i="3"/>
  <c r="V6" i="3"/>
  <c r="U6" i="3"/>
  <c r="T6" i="3"/>
  <c r="S6" i="3"/>
  <c r="W5" i="3"/>
  <c r="V5" i="3"/>
  <c r="U5" i="3"/>
  <c r="T5" i="3"/>
  <c r="S5" i="3"/>
  <c r="W4" i="3"/>
  <c r="V4" i="3"/>
  <c r="U4" i="3"/>
  <c r="T4" i="3"/>
  <c r="S4" i="3"/>
  <c r="W3" i="3"/>
  <c r="V3" i="3"/>
  <c r="U3" i="3"/>
  <c r="T3" i="3"/>
  <c r="S3" i="3"/>
  <c r="W2" i="3"/>
  <c r="V2" i="3"/>
  <c r="U2" i="3"/>
  <c r="T2" i="3"/>
  <c r="S2" i="3"/>
  <c r="I4" i="5" l="1"/>
</calcChain>
</file>

<file path=xl/sharedStrings.xml><?xml version="1.0" encoding="utf-8"?>
<sst xmlns="http://schemas.openxmlformats.org/spreadsheetml/2006/main" count="434" uniqueCount="172">
  <si>
    <t>Rk</t>
  </si>
  <si>
    <t>Player</t>
  </si>
  <si>
    <t>Nation</t>
  </si>
  <si>
    <t>Pos</t>
  </si>
  <si>
    <t>Squad</t>
  </si>
  <si>
    <t>Age</t>
  </si>
  <si>
    <t>Born</t>
  </si>
  <si>
    <t>MP</t>
  </si>
  <si>
    <t>Starts</t>
  </si>
  <si>
    <t>Min</t>
  </si>
  <si>
    <t>90s</t>
  </si>
  <si>
    <t>GA</t>
  </si>
  <si>
    <t>GA90</t>
  </si>
  <si>
    <t>SoTA</t>
  </si>
  <si>
    <t>Saves</t>
  </si>
  <si>
    <t>Save%</t>
  </si>
  <si>
    <t>W</t>
  </si>
  <si>
    <t>D</t>
  </si>
  <si>
    <t>L</t>
  </si>
  <si>
    <t>CS</t>
  </si>
  <si>
    <t>CS%</t>
  </si>
  <si>
    <t>PKatt</t>
  </si>
  <si>
    <t>PKA</t>
  </si>
  <si>
    <t>PKsv</t>
  </si>
  <si>
    <t>PKm</t>
  </si>
  <si>
    <t>Matches</t>
  </si>
  <si>
    <t>-9999</t>
  </si>
  <si>
    <t>Alisson</t>
  </si>
  <si>
    <t>br BRA</t>
  </si>
  <si>
    <t>GK</t>
  </si>
  <si>
    <t>Liverpool</t>
  </si>
  <si>
    <t>7a2e46a8</t>
  </si>
  <si>
    <t>Alphonse Areola</t>
  </si>
  <si>
    <t>fr FRA</t>
  </si>
  <si>
    <t>West Ham</t>
  </si>
  <si>
    <t>2f965a72</t>
  </si>
  <si>
    <t>Kepa Arrizabalaga</t>
  </si>
  <si>
    <t>es ESP</t>
  </si>
  <si>
    <t>Arsenal</t>
  </si>
  <si>
    <t>28d596a0</t>
  </si>
  <si>
    <t>Altay Bayındır</t>
  </si>
  <si>
    <t>tr TUR</t>
  </si>
  <si>
    <t>Manchester Utd</t>
  </si>
  <si>
    <t>072e68ed</t>
  </si>
  <si>
    <t>Walter Benítez</t>
  </si>
  <si>
    <t>ar ARG</t>
  </si>
  <si>
    <t>Crystal Palace</t>
  </si>
  <si>
    <t>8a2248b4</t>
  </si>
  <si>
    <t>Daniel Bentley</t>
  </si>
  <si>
    <t>eng ENG</t>
  </si>
  <si>
    <t>Wolves</t>
  </si>
  <si>
    <t>68db6358</t>
  </si>
  <si>
    <t>Marco Bizot</t>
  </si>
  <si>
    <t>nl NED</t>
  </si>
  <si>
    <t>Aston Villa</t>
  </si>
  <si>
    <t>3d214e5f</t>
  </si>
  <si>
    <t>Karl Darlow</t>
  </si>
  <si>
    <t>wls WAL</t>
  </si>
  <si>
    <t>Leeds United</t>
  </si>
  <si>
    <t>cde3309f</t>
  </si>
  <si>
    <t>Gianluigi Donnarumma</t>
  </si>
  <si>
    <t>it ITA</t>
  </si>
  <si>
    <t>Manchester City</t>
  </si>
  <si>
    <t>08f5afaa</t>
  </si>
  <si>
    <t>Martin Dúbravka</t>
  </si>
  <si>
    <t>sk SVK</t>
  </si>
  <si>
    <t>Burnley</t>
  </si>
  <si>
    <t>3a949a25</t>
  </si>
  <si>
    <t>Melker Ellborg</t>
  </si>
  <si>
    <t>se SWE</t>
  </si>
  <si>
    <t>Sunderland</t>
  </si>
  <si>
    <t>013d348e</t>
  </si>
  <si>
    <t>Angus Gunn</t>
  </si>
  <si>
    <t>sct SCO</t>
  </si>
  <si>
    <t>Nottingham</t>
  </si>
  <si>
    <t>e082af5b</t>
  </si>
  <si>
    <t>Dean Henderson</t>
  </si>
  <si>
    <t>e5a76dfe</t>
  </si>
  <si>
    <t>Mads Hermansen</t>
  </si>
  <si>
    <t>dk DEN</t>
  </si>
  <si>
    <t>c924b17d</t>
  </si>
  <si>
    <t>John</t>
  </si>
  <si>
    <t>33a235af</t>
  </si>
  <si>
    <t>Sam Johnstone</t>
  </si>
  <si>
    <t>9e5708be</t>
  </si>
  <si>
    <t>Filip Jørgensen</t>
  </si>
  <si>
    <t>Chelsea</t>
  </si>
  <si>
    <t>0107757e</t>
  </si>
  <si>
    <t>Caoimhín Kelleher</t>
  </si>
  <si>
    <t>ie IRL</t>
  </si>
  <si>
    <t>Brentford</t>
  </si>
  <si>
    <t>62d7ef38</t>
  </si>
  <si>
    <t>Antonín Kinský</t>
  </si>
  <si>
    <t>cz CZE</t>
  </si>
  <si>
    <t>Tottenham</t>
  </si>
  <si>
    <t>b38ac6a4</t>
  </si>
  <si>
    <t>Senne Lammens</t>
  </si>
  <si>
    <t>be BEL</t>
  </si>
  <si>
    <t>8e6d2fcd</t>
  </si>
  <si>
    <t>Bernd Leno</t>
  </si>
  <si>
    <t>de GER</t>
  </si>
  <si>
    <t>Fulham</t>
  </si>
  <si>
    <t>2628fd2b</t>
  </si>
  <si>
    <t>Giorgi Mamardashvili</t>
  </si>
  <si>
    <t>ge GEO</t>
  </si>
  <si>
    <t>d4b73232</t>
  </si>
  <si>
    <t>Emiliano Martínez</t>
  </si>
  <si>
    <t>7956236f</t>
  </si>
  <si>
    <t>Stefan Ortega</t>
  </si>
  <si>
    <t>c1242d4e</t>
  </si>
  <si>
    <t>Lucas Perri</t>
  </si>
  <si>
    <t>5dbd461a</t>
  </si>
  <si>
    <t>Đorđe Petrović</t>
  </si>
  <si>
    <t>rs SRB</t>
  </si>
  <si>
    <t>Bournemouth</t>
  </si>
  <si>
    <t>0cf321c8</t>
  </si>
  <si>
    <t>Jordan Pickford</t>
  </si>
  <si>
    <t>Everton</t>
  </si>
  <si>
    <t>4806ec67</t>
  </si>
  <si>
    <t>Nick Pope</t>
  </si>
  <si>
    <t>Newcastle</t>
  </si>
  <si>
    <t>4b40d9ca</t>
  </si>
  <si>
    <t>Aaron Ramsdale</t>
  </si>
  <si>
    <t>466fb2c5</t>
  </si>
  <si>
    <t>David Raya</t>
  </si>
  <si>
    <t>98ea5115</t>
  </si>
  <si>
    <t>Robin Roefs</t>
  </si>
  <si>
    <t>349fa918</t>
  </si>
  <si>
    <t>José Sá</t>
  </si>
  <si>
    <t>pt POR</t>
  </si>
  <si>
    <t>903b6e8b</t>
  </si>
  <si>
    <t>Robert Sánchez</t>
  </si>
  <si>
    <t>6a713852</t>
  </si>
  <si>
    <t>Matz Sels</t>
  </si>
  <si>
    <t>834b5c4c</t>
  </si>
  <si>
    <t>James Trafford</t>
  </si>
  <si>
    <t>259fea27</t>
  </si>
  <si>
    <t>Hákon Valdimarsson</t>
  </si>
  <si>
    <t>is ISL</t>
  </si>
  <si>
    <t>57a34cf4</t>
  </si>
  <si>
    <t>Bart Verbruggen</t>
  </si>
  <si>
    <t>Brighton</t>
  </si>
  <si>
    <t>cf134113</t>
  </si>
  <si>
    <t>Guglielmo Vicario</t>
  </si>
  <si>
    <t>77d6fd4d</t>
  </si>
  <si>
    <t>Max Weiß</t>
  </si>
  <si>
    <t>882228c2</t>
  </si>
  <si>
    <t>Freddie Woodman</t>
  </si>
  <si>
    <t>19e50035</t>
  </si>
  <si>
    <t>CS/90</t>
  </si>
  <si>
    <t>Saves/90</t>
  </si>
  <si>
    <t>SoTA/90</t>
  </si>
  <si>
    <t>Penalty Save %</t>
  </si>
  <si>
    <t>Include? (900+ mins)</t>
  </si>
  <si>
    <t>Correlation Analysis — Clean Sheets per 90</t>
  </si>
  <si>
    <t>Metric</t>
  </si>
  <si>
    <t>Correlation with CS/90</t>
  </si>
  <si>
    <t>Absolute Strength</t>
  </si>
  <si>
    <t>Interpretation</t>
  </si>
  <si>
    <t>Caution</t>
  </si>
  <si>
    <t>Save percentage</t>
  </si>
  <si>
    <t>Association only; team quality and shot difficulty are not controlled.</t>
  </si>
  <si>
    <t>Goals against per 90</t>
  </si>
  <si>
    <t>Saves per 90</t>
  </si>
  <si>
    <t>Shots on target faced per 90</t>
  </si>
  <si>
    <t>Clean-sheet percentage</t>
  </si>
  <si>
    <t>Penalty save percentage</t>
  </si>
  <si>
    <t>Premier League Goalkeeper Analysis Dashboard</t>
  </si>
  <si>
    <t>Headline finding</t>
  </si>
  <si>
    <t>Project limitations</t>
  </si>
  <si>
    <t>• One-season sample
• Clean sheets depend on the whole team
• Uploaded file lacks PSxG and advanced sweeping data
• Correlation does not establish causation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</si>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</sst>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7">
    <font>
      <sz val="11"/>
      <name val="Carlito"/>
    </font>
    <font>
      <b/>
      <sz val="20"/>
      <color rgb="FFFFFFFF"/>
      <name val="Carlito"/>
    </font>
    <font>
      <b/>
      <sz val="11"/>
      <color rgb="FFFFFFFF"/>
      <name val="Carlito"/>
    </font>
    <font>
      <b/>
      <sz val="18"/>
      <color rgb="FFFFFFFF"/>
      <name val="Carlito"/>
    </font>
    <font>
      <b/>
      <sz val="14"/>
      <color rgb="FF16324F"/>
      <name val="Carlito"/>
    </font>
    <font>
      <sz val="12"/>
      <color rgb="FF666666"/>
      <name val="Carlito"/>
    </font>
    <font>
      <sz val="11"/>
      <color rgb="FF7F6000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6324F"/>
      </patternFill>
    </fill>
    <fill>
      <patternFill patternType="solid">
        <fgColor rgb="FFD9EAF7"/>
      </patternFill>
    </fill>
    <fill>
      <patternFill patternType="solid">
        <fgColor rgb="FF2E75B6"/>
      </patternFill>
    </fill>
    <fill>
      <patternFill patternType="solid">
        <fgColor rgb="FFFFF2CC"/>
      </patternFill>
    </fill>
    <fill>
      <patternFill patternType="solid">
        <fgColor rgb="FFF4F7FA"/>
      </patternFill>
    </fill>
  </fills>
  <borders count="17">
    <border>
      <left/>
      <right/>
      <top/>
      <bottom/>
      <diagonal/>
    </border>
    <border>
      <left style="thin">
        <color rgb="FFB7C9D6"/>
      </left>
      <right/>
      <top style="thin">
        <color rgb="FFB7C9D6"/>
      </top>
      <bottom/>
      <diagonal/>
    </border>
    <border>
      <left/>
      <right style="thin">
        <color rgb="FFB7C9D6"/>
      </right>
      <top style="thin">
        <color rgb="FFB7C9D6"/>
      </top>
      <bottom/>
      <diagonal/>
    </border>
    <border>
      <left style="thin">
        <color rgb="FFB7C9D6"/>
      </left>
      <right/>
      <top/>
      <bottom/>
      <diagonal/>
    </border>
    <border>
      <left/>
      <right style="thin">
        <color rgb="FFB7C9D6"/>
      </right>
      <top/>
      <bottom/>
      <diagonal/>
    </border>
    <border>
      <left style="thin">
        <color rgb="FFB7C9D6"/>
      </left>
      <right/>
      <top/>
      <bottom style="thin">
        <color rgb="FFB7C9D6"/>
      </bottom>
      <diagonal/>
    </border>
    <border>
      <left/>
      <right style="thin">
        <color rgb="FFB7C9D6"/>
      </right>
      <top/>
      <bottom style="thin">
        <color rgb="FFB7C9D6"/>
      </bottom>
      <diagonal/>
    </border>
    <border>
      <left/>
      <right/>
      <top style="thin">
        <color rgb="FFB7C9D6"/>
      </top>
      <bottom/>
      <diagonal/>
    </border>
    <border>
      <left/>
      <right/>
      <top/>
      <bottom style="thin">
        <color rgb="FFB7C9D6"/>
      </bottom>
      <diagonal/>
    </border>
    <border>
      <left style="thin">
        <color rgb="FF2E75B6"/>
      </left>
      <right/>
      <top style="thin">
        <color rgb="FF2E75B6"/>
      </top>
      <bottom/>
      <diagonal/>
    </border>
    <border>
      <left/>
      <right/>
      <top style="thin">
        <color rgb="FF2E75B6"/>
      </top>
      <bottom/>
      <diagonal/>
    </border>
    <border>
      <left/>
      <right style="thin">
        <color rgb="FF2E75B6"/>
      </right>
      <top style="thin">
        <color rgb="FF2E75B6"/>
      </top>
      <bottom/>
      <diagonal/>
    </border>
    <border>
      <left style="thin">
        <color rgb="FF2E75B6"/>
      </left>
      <right/>
      <top/>
      <bottom/>
      <diagonal/>
    </border>
    <border>
      <left/>
      <right style="thin">
        <color rgb="FF2E75B6"/>
      </right>
      <top/>
      <bottom/>
      <diagonal/>
    </border>
    <border>
      <left style="thin">
        <color rgb="FF2E75B6"/>
      </left>
      <right/>
      <top/>
      <bottom style="thin">
        <color rgb="FF2E75B6"/>
      </bottom>
      <diagonal/>
    </border>
    <border>
      <left/>
      <right/>
      <top/>
      <bottom style="thin">
        <color rgb="FF2E75B6"/>
      </bottom>
      <diagonal/>
    </border>
    <border>
      <left/>
      <right style="thin">
        <color rgb="FF2E75B6"/>
      </right>
      <top/>
      <bottom style="thin">
        <color rgb="FF2E75B6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4" xfId="0" applyBorder="1" applyAlignment="1">
      <alignment wrapText="1"/>
    </xf>
    <xf numFmtId="0" fontId="0" fillId="0" borderId="6" xfId="0" applyBorder="1" applyAlignment="1">
      <alignment wrapText="1"/>
    </xf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wrapText="1"/>
    </xf>
    <xf numFmtId="2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2" fillId="4" borderId="1" xfId="0" applyFont="1" applyFill="1" applyBorder="1" applyAlignment="1">
      <alignment horizontal="center" wrapText="1"/>
    </xf>
    <xf numFmtId="0" fontId="2" fillId="4" borderId="7" xfId="0" applyFont="1" applyFill="1" applyBorder="1" applyAlignment="1">
      <alignment horizontal="center" wrapText="1"/>
    </xf>
    <xf numFmtId="0" fontId="2" fillId="4" borderId="2" xfId="0" applyFont="1" applyFill="1" applyBorder="1" applyAlignment="1">
      <alignment horizontal="center" wrapText="1"/>
    </xf>
    <xf numFmtId="0" fontId="0" fillId="0" borderId="3" xfId="0" applyBorder="1"/>
    <xf numFmtId="0" fontId="0" fillId="0" borderId="5" xfId="0" applyBorder="1"/>
    <xf numFmtId="2" fontId="0" fillId="0" borderId="8" xfId="0" applyNumberFormat="1" applyBorder="1"/>
    <xf numFmtId="0" fontId="0" fillId="0" borderId="8" xfId="0" applyBorder="1"/>
    <xf numFmtId="0" fontId="3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/>
    </xf>
    <xf numFmtId="0" fontId="6" fillId="5" borderId="0" xfId="0" applyFont="1" applyFill="1" applyAlignment="1">
      <alignment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4" fillId="3" borderId="12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4" fillId="3" borderId="13" xfId="0" applyFont="1" applyFill="1" applyBorder="1" applyAlignment="1">
      <alignment horizontal="center" vertical="center" wrapText="1"/>
    </xf>
    <xf numFmtId="0" fontId="4" fillId="3" borderId="14" xfId="0" applyFont="1" applyFill="1" applyBorder="1" applyAlignment="1">
      <alignment horizontal="center" vertical="center" wrapText="1"/>
    </xf>
    <xf numFmtId="0" fontId="4" fillId="3" borderId="15" xfId="0" applyFont="1" applyFill="1" applyBorder="1" applyAlignment="1">
      <alignment horizontal="center" vertical="center" wrapText="1"/>
    </xf>
    <xf numFmtId="0" fontId="4" fillId="3" borderId="16" xfId="0" applyFont="1" applyFill="1" applyBorder="1" applyAlignment="1">
      <alignment horizontal="center" vertical="center" wrapText="1"/>
    </xf>
  </cellXfs>
  <cellStyles count="1">
    <cellStyle name="Normal" xfId="0" builtinId="0"/>
  </cellStyles>
  <dxfs count="2">
    <dxf>
      <font>
        <color rgb="FF9C0006"/>
      </font>
      <fill>
        <patternFill patternType="solid">
          <bgColor rgb="FFFCE4D6"/>
        </patternFill>
      </fill>
    </dxf>
    <dxf>
      <font>
        <b/>
        <color rgb="FF375623"/>
      </font>
      <fill>
        <patternFill patternType="solid"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/>
          <a:lstStyle/>
          <a:p>
            <a:r>
              <a:rPr lang="en-GB"/>
              <a:t>Correlation with Clean Sheets per 90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Correlation with CS/90</c:v>
          </c:tx>
          <c:invertIfNegative val="1"/>
          <c:cat>
            <c:strRef>
              <c:f>Correlations!$A$5:$A$10</c:f>
              <c:strCache>
                <c:ptCount val="6"/>
                <c:pt idx="0">
                  <c:v>Save percentage</c:v>
                </c:pt>
                <c:pt idx="1">
                  <c:v>Goals against per 90</c:v>
                </c:pt>
                <c:pt idx="2">
                  <c:v>Saves per 90</c:v>
                </c:pt>
                <c:pt idx="3">
                  <c:v>Shots on target faced per 90</c:v>
                </c:pt>
                <c:pt idx="4">
                  <c:v>Clean-sheet percentage</c:v>
                </c:pt>
                <c:pt idx="5">
                  <c:v>Penalty save percentage</c:v>
                </c:pt>
              </c:strCache>
            </c:strRef>
          </c:cat>
          <c:val>
            <c:numRef>
              <c:f>Correlations!$B$5:$B$10</c:f>
              <c:numCache>
                <c:formatCode>0.00</c:formatCode>
                <c:ptCount val="6"/>
                <c:pt idx="0">
                  <c:v>0.54269417017478649</c:v>
                </c:pt>
                <c:pt idx="1">
                  <c:v>-0.84263645341600002</c:v>
                </c:pt>
                <c:pt idx="2">
                  <c:v>0.67139075507233203</c:v>
                </c:pt>
                <c:pt idx="3">
                  <c:v>0.66234144041702903</c:v>
                </c:pt>
                <c:pt idx="4">
                  <c:v>0.84551503838910869</c:v>
                </c:pt>
                <c:pt idx="5">
                  <c:v>0.33665382633723578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DA-4525-A0E3-EDC54C2FF0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/>
          <a:lstStyle/>
          <a:p>
            <a:r>
              <a:rPr lang="en-GB"/>
              <a:t>Available Metrics vs Clean Sheets per 90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Correlation with CS/90</c:v>
          </c:tx>
          <c:invertIfNegative val="1"/>
          <c:cat>
            <c:strRef>
              <c:f>Correlations!$A$5:$A$10</c:f>
              <c:strCache>
                <c:ptCount val="6"/>
                <c:pt idx="0">
                  <c:v>Save percentage</c:v>
                </c:pt>
                <c:pt idx="1">
                  <c:v>Goals against per 90</c:v>
                </c:pt>
                <c:pt idx="2">
                  <c:v>Saves per 90</c:v>
                </c:pt>
                <c:pt idx="3">
                  <c:v>Shots on target faced per 90</c:v>
                </c:pt>
                <c:pt idx="4">
                  <c:v>Clean-sheet percentage</c:v>
                </c:pt>
                <c:pt idx="5">
                  <c:v>Penalty save percentage</c:v>
                </c:pt>
              </c:strCache>
            </c:strRef>
          </c:cat>
          <c:val>
            <c:numRef>
              <c:f>Correlations!$B$5:$B$10</c:f>
              <c:numCache>
                <c:formatCode>0.00</c:formatCode>
                <c:ptCount val="6"/>
                <c:pt idx="0">
                  <c:v>0.54269417017478649</c:v>
                </c:pt>
                <c:pt idx="1">
                  <c:v>-0.84263645341600002</c:v>
                </c:pt>
                <c:pt idx="2">
                  <c:v>0.67139075507233203</c:v>
                </c:pt>
                <c:pt idx="3">
                  <c:v>0.66234144041702903</c:v>
                </c:pt>
                <c:pt idx="4">
                  <c:v>0.84551503838910869</c:v>
                </c:pt>
                <c:pt idx="5">
                  <c:v>0.33665382633723578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2A-47B1-BFD6-493FEBDFE4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76200</xdr:colOff>
      <xdr:row>0</xdr:row>
      <xdr:rowOff>9525</xdr:rowOff>
    </xdr:from>
    <xdr:to>
      <xdr:col>13</xdr:col>
      <xdr:colOff>76200</xdr:colOff>
      <xdr:row>17</xdr:row>
      <xdr:rowOff>9525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0</xdr:rowOff>
    </xdr:from>
    <xdr:to>
      <xdr:col>12</xdr:col>
      <xdr:colOff>0</xdr:colOff>
      <xdr:row>34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41"/>
  <sheetViews>
    <sheetView workbookViewId="0">
      <selection activeCell="D13" sqref="D13"/>
    </sheetView>
  </sheetViews>
  <sheetFormatPr defaultRowHeight="14.25"/>
  <cols>
    <col min="1" max="1" width="2.5" customWidth="1"/>
    <col min="2" max="5" width="18" customWidth="1"/>
    <col min="6" max="6" width="3.5" customWidth="1"/>
    <col min="7" max="7" width="4.25" customWidth="1"/>
    <col min="8" max="8" width="3.125" customWidth="1"/>
    <col min="9" max="9" width="5" customWidth="1"/>
    <col min="10" max="10" width="4.25" customWidth="1"/>
    <col min="11" max="11" width="3.75" customWidth="1"/>
    <col min="12" max="12" width="2.875" customWidth="1"/>
    <col min="13" max="13" width="4.75" customWidth="1"/>
    <col min="14" max="14" width="4.25" customWidth="1"/>
    <col min="15" max="15" width="4.75" customWidth="1"/>
    <col min="16" max="16" width="5.375" customWidth="1"/>
    <col min="17" max="20" width="2.375" customWidth="1"/>
    <col min="21" max="21" width="3.75" customWidth="1"/>
    <col min="22" max="22" width="4.625" customWidth="1"/>
    <col min="23" max="23" width="3.625" customWidth="1"/>
    <col min="24" max="24" width="4.125" customWidth="1"/>
    <col min="25" max="25" width="4" customWidth="1"/>
    <col min="26" max="26" width="5.375" customWidth="1"/>
    <col min="27" max="28" width="18" customWidth="1"/>
  </cols>
  <sheetData>
    <row r="1" spans="1:28" ht="1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15</v>
      </c>
      <c r="AA1" s="3" t="s">
        <v>25</v>
      </c>
      <c r="AB1" s="3" t="s">
        <v>26</v>
      </c>
    </row>
    <row r="2" spans="1:28">
      <c r="A2">
        <v>1</v>
      </c>
      <c r="B2" t="s">
        <v>27</v>
      </c>
      <c r="C2" t="s">
        <v>28</v>
      </c>
      <c r="D2" t="s">
        <v>29</v>
      </c>
      <c r="E2" t="s">
        <v>30</v>
      </c>
      <c r="F2">
        <v>32</v>
      </c>
      <c r="G2">
        <v>1992</v>
      </c>
      <c r="H2">
        <v>26</v>
      </c>
      <c r="I2">
        <v>26</v>
      </c>
      <c r="J2">
        <v>2340</v>
      </c>
      <c r="K2">
        <v>26</v>
      </c>
      <c r="L2">
        <v>31</v>
      </c>
      <c r="M2">
        <v>1.19</v>
      </c>
      <c r="N2">
        <v>88</v>
      </c>
      <c r="O2">
        <v>57</v>
      </c>
      <c r="P2">
        <v>64.8</v>
      </c>
      <c r="Q2">
        <v>13</v>
      </c>
      <c r="R2">
        <v>8</v>
      </c>
      <c r="S2">
        <v>5</v>
      </c>
      <c r="T2">
        <v>8</v>
      </c>
      <c r="U2">
        <v>30.8</v>
      </c>
      <c r="V2">
        <v>2</v>
      </c>
      <c r="W2">
        <v>2</v>
      </c>
      <c r="X2">
        <v>0</v>
      </c>
      <c r="Y2">
        <v>0</v>
      </c>
      <c r="Z2">
        <v>0</v>
      </c>
      <c r="AA2" t="s">
        <v>25</v>
      </c>
      <c r="AB2" t="s">
        <v>31</v>
      </c>
    </row>
    <row r="3" spans="1:28">
      <c r="A3">
        <v>2</v>
      </c>
      <c r="B3" t="s">
        <v>32</v>
      </c>
      <c r="C3" t="s">
        <v>33</v>
      </c>
      <c r="D3" t="s">
        <v>29</v>
      </c>
      <c r="E3" t="s">
        <v>34</v>
      </c>
      <c r="F3">
        <v>32</v>
      </c>
      <c r="G3">
        <v>1993</v>
      </c>
      <c r="H3">
        <v>20</v>
      </c>
      <c r="I3">
        <v>20</v>
      </c>
      <c r="J3">
        <v>1800</v>
      </c>
      <c r="K3">
        <v>20</v>
      </c>
      <c r="L3">
        <v>37</v>
      </c>
      <c r="M3">
        <v>1.85</v>
      </c>
      <c r="N3">
        <v>113</v>
      </c>
      <c r="O3">
        <v>76</v>
      </c>
      <c r="P3">
        <v>67.3</v>
      </c>
      <c r="Q3">
        <v>4</v>
      </c>
      <c r="R3">
        <v>5</v>
      </c>
      <c r="S3">
        <v>11</v>
      </c>
      <c r="T3">
        <v>0</v>
      </c>
      <c r="U3">
        <v>0</v>
      </c>
      <c r="V3">
        <v>6</v>
      </c>
      <c r="W3">
        <v>5</v>
      </c>
      <c r="X3">
        <v>0</v>
      </c>
      <c r="Y3">
        <v>1</v>
      </c>
      <c r="Z3">
        <v>0</v>
      </c>
      <c r="AA3" t="s">
        <v>25</v>
      </c>
      <c r="AB3" t="s">
        <v>35</v>
      </c>
    </row>
    <row r="4" spans="1:28">
      <c r="A4">
        <v>3</v>
      </c>
      <c r="B4" t="s">
        <v>36</v>
      </c>
      <c r="C4" t="s">
        <v>37</v>
      </c>
      <c r="D4" t="s">
        <v>29</v>
      </c>
      <c r="E4" t="s">
        <v>38</v>
      </c>
      <c r="F4">
        <v>30</v>
      </c>
      <c r="G4">
        <v>1994</v>
      </c>
      <c r="H4">
        <v>1</v>
      </c>
      <c r="I4">
        <v>1</v>
      </c>
      <c r="J4">
        <v>90</v>
      </c>
      <c r="K4">
        <v>1</v>
      </c>
      <c r="L4">
        <v>1</v>
      </c>
      <c r="M4">
        <v>1</v>
      </c>
      <c r="N4">
        <v>3</v>
      </c>
      <c r="O4">
        <v>2</v>
      </c>
      <c r="P4">
        <v>66.7</v>
      </c>
      <c r="Q4">
        <v>1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AA4" t="s">
        <v>25</v>
      </c>
      <c r="AB4" t="s">
        <v>39</v>
      </c>
    </row>
    <row r="5" spans="1:28">
      <c r="A5">
        <v>4</v>
      </c>
      <c r="B5" t="s">
        <v>40</v>
      </c>
      <c r="C5" t="s">
        <v>41</v>
      </c>
      <c r="D5" t="s">
        <v>29</v>
      </c>
      <c r="E5" t="s">
        <v>42</v>
      </c>
      <c r="F5">
        <v>27</v>
      </c>
      <c r="G5">
        <v>1998</v>
      </c>
      <c r="H5">
        <v>6</v>
      </c>
      <c r="I5">
        <v>6</v>
      </c>
      <c r="J5">
        <v>540</v>
      </c>
      <c r="K5">
        <v>6</v>
      </c>
      <c r="L5">
        <v>11</v>
      </c>
      <c r="M5">
        <v>1.83</v>
      </c>
      <c r="N5">
        <v>24</v>
      </c>
      <c r="O5">
        <v>13</v>
      </c>
      <c r="P5">
        <v>54.2</v>
      </c>
      <c r="Q5">
        <v>2</v>
      </c>
      <c r="R5">
        <v>1</v>
      </c>
      <c r="S5">
        <v>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AA5" t="s">
        <v>25</v>
      </c>
      <c r="AB5" t="s">
        <v>43</v>
      </c>
    </row>
    <row r="6" spans="1:28">
      <c r="A6">
        <v>5</v>
      </c>
      <c r="B6" t="s">
        <v>44</v>
      </c>
      <c r="C6" t="s">
        <v>45</v>
      </c>
      <c r="D6" t="s">
        <v>29</v>
      </c>
      <c r="E6" t="s">
        <v>46</v>
      </c>
      <c r="F6">
        <v>32</v>
      </c>
      <c r="G6">
        <v>1993</v>
      </c>
      <c r="H6">
        <v>1</v>
      </c>
      <c r="I6">
        <v>1</v>
      </c>
      <c r="J6">
        <v>90</v>
      </c>
      <c r="K6">
        <v>1</v>
      </c>
      <c r="L6">
        <v>0</v>
      </c>
      <c r="M6">
        <v>0</v>
      </c>
      <c r="N6">
        <v>3</v>
      </c>
      <c r="O6">
        <v>3</v>
      </c>
      <c r="P6">
        <v>100</v>
      </c>
      <c r="Q6">
        <v>0</v>
      </c>
      <c r="R6">
        <v>1</v>
      </c>
      <c r="S6">
        <v>0</v>
      </c>
      <c r="T6">
        <v>1</v>
      </c>
      <c r="U6">
        <v>100</v>
      </c>
      <c r="V6">
        <v>1</v>
      </c>
      <c r="W6">
        <v>0</v>
      </c>
      <c r="X6">
        <v>0</v>
      </c>
      <c r="Y6">
        <v>1</v>
      </c>
      <c r="AA6" t="s">
        <v>25</v>
      </c>
      <c r="AB6" t="s">
        <v>47</v>
      </c>
    </row>
    <row r="7" spans="1:28">
      <c r="A7">
        <v>6</v>
      </c>
      <c r="B7" t="s">
        <v>48</v>
      </c>
      <c r="C7" t="s">
        <v>49</v>
      </c>
      <c r="D7" t="s">
        <v>29</v>
      </c>
      <c r="E7" t="s">
        <v>50</v>
      </c>
      <c r="F7">
        <v>32</v>
      </c>
      <c r="G7">
        <v>1993</v>
      </c>
      <c r="H7">
        <v>3</v>
      </c>
      <c r="I7">
        <v>3</v>
      </c>
      <c r="J7">
        <v>270</v>
      </c>
      <c r="K7">
        <v>3</v>
      </c>
      <c r="L7">
        <v>7</v>
      </c>
      <c r="M7">
        <v>2.33</v>
      </c>
      <c r="N7">
        <v>14</v>
      </c>
      <c r="O7">
        <v>7</v>
      </c>
      <c r="P7">
        <v>50</v>
      </c>
      <c r="Q7">
        <v>0</v>
      </c>
      <c r="R7">
        <v>1</v>
      </c>
      <c r="S7">
        <v>2</v>
      </c>
      <c r="T7">
        <v>0</v>
      </c>
      <c r="U7">
        <v>0</v>
      </c>
      <c r="V7">
        <v>1</v>
      </c>
      <c r="W7">
        <v>1</v>
      </c>
      <c r="X7">
        <v>0</v>
      </c>
      <c r="Y7">
        <v>0</v>
      </c>
      <c r="Z7">
        <v>0</v>
      </c>
      <c r="AA7" t="s">
        <v>25</v>
      </c>
      <c r="AB7" t="s">
        <v>51</v>
      </c>
    </row>
    <row r="8" spans="1:28">
      <c r="A8">
        <v>7</v>
      </c>
      <c r="B8" t="s">
        <v>52</v>
      </c>
      <c r="C8" t="s">
        <v>53</v>
      </c>
      <c r="D8" t="s">
        <v>29</v>
      </c>
      <c r="E8" t="s">
        <v>54</v>
      </c>
      <c r="F8">
        <v>34</v>
      </c>
      <c r="G8">
        <v>1991</v>
      </c>
      <c r="H8">
        <v>7</v>
      </c>
      <c r="I8">
        <v>6</v>
      </c>
      <c r="J8">
        <v>585</v>
      </c>
      <c r="K8">
        <v>6.5</v>
      </c>
      <c r="L8">
        <v>10</v>
      </c>
      <c r="M8">
        <v>1.54</v>
      </c>
      <c r="N8">
        <v>29</v>
      </c>
      <c r="O8">
        <v>19</v>
      </c>
      <c r="P8">
        <v>65.5</v>
      </c>
      <c r="Q8">
        <v>3</v>
      </c>
      <c r="R8">
        <v>2</v>
      </c>
      <c r="S8">
        <v>1</v>
      </c>
      <c r="T8">
        <v>2</v>
      </c>
      <c r="U8">
        <v>33.299999999999997</v>
      </c>
      <c r="V8">
        <v>1</v>
      </c>
      <c r="W8">
        <v>1</v>
      </c>
      <c r="X8">
        <v>0</v>
      </c>
      <c r="Y8">
        <v>0</v>
      </c>
      <c r="Z8">
        <v>0</v>
      </c>
      <c r="AA8" t="s">
        <v>25</v>
      </c>
      <c r="AB8" t="s">
        <v>55</v>
      </c>
    </row>
    <row r="9" spans="1:28">
      <c r="A9">
        <v>8</v>
      </c>
      <c r="B9" t="s">
        <v>56</v>
      </c>
      <c r="C9" t="s">
        <v>57</v>
      </c>
      <c r="D9" t="s">
        <v>29</v>
      </c>
      <c r="E9" t="s">
        <v>58</v>
      </c>
      <c r="F9">
        <v>34</v>
      </c>
      <c r="G9">
        <v>1990</v>
      </c>
      <c r="H9">
        <v>22</v>
      </c>
      <c r="I9">
        <v>22</v>
      </c>
      <c r="J9">
        <v>1980</v>
      </c>
      <c r="K9">
        <v>22</v>
      </c>
      <c r="L9">
        <v>27</v>
      </c>
      <c r="M9">
        <v>1.23</v>
      </c>
      <c r="N9">
        <v>90</v>
      </c>
      <c r="O9">
        <v>63</v>
      </c>
      <c r="P9">
        <v>70</v>
      </c>
      <c r="Q9">
        <v>7</v>
      </c>
      <c r="R9">
        <v>8</v>
      </c>
      <c r="S9">
        <v>7</v>
      </c>
      <c r="T9">
        <v>5</v>
      </c>
      <c r="U9">
        <v>22.7</v>
      </c>
      <c r="V9">
        <v>2</v>
      </c>
      <c r="W9">
        <v>2</v>
      </c>
      <c r="X9">
        <v>0</v>
      </c>
      <c r="Y9">
        <v>0</v>
      </c>
      <c r="Z9">
        <v>0</v>
      </c>
      <c r="AA9" t="s">
        <v>25</v>
      </c>
      <c r="AB9" t="s">
        <v>59</v>
      </c>
    </row>
    <row r="10" spans="1:28">
      <c r="A10">
        <v>9</v>
      </c>
      <c r="B10" t="s">
        <v>60</v>
      </c>
      <c r="C10" t="s">
        <v>61</v>
      </c>
      <c r="D10" t="s">
        <v>29</v>
      </c>
      <c r="E10" t="s">
        <v>62</v>
      </c>
      <c r="F10">
        <v>26</v>
      </c>
      <c r="G10">
        <v>1999</v>
      </c>
      <c r="H10">
        <v>34</v>
      </c>
      <c r="I10">
        <v>34</v>
      </c>
      <c r="J10">
        <v>3060</v>
      </c>
      <c r="K10">
        <v>34</v>
      </c>
      <c r="L10">
        <v>29</v>
      </c>
      <c r="M10">
        <v>0.85</v>
      </c>
      <c r="N10">
        <v>106</v>
      </c>
      <c r="O10">
        <v>75</v>
      </c>
      <c r="P10">
        <v>72.599999999999994</v>
      </c>
      <c r="Q10">
        <v>22</v>
      </c>
      <c r="R10">
        <v>9</v>
      </c>
      <c r="S10">
        <v>3</v>
      </c>
      <c r="T10">
        <v>15</v>
      </c>
      <c r="U10">
        <v>44.1</v>
      </c>
      <c r="V10">
        <v>1</v>
      </c>
      <c r="W10">
        <v>0</v>
      </c>
      <c r="X10">
        <v>1</v>
      </c>
      <c r="Y10">
        <v>0</v>
      </c>
      <c r="Z10">
        <v>100</v>
      </c>
      <c r="AA10" t="s">
        <v>25</v>
      </c>
      <c r="AB10" t="s">
        <v>63</v>
      </c>
    </row>
    <row r="11" spans="1:28">
      <c r="A11">
        <v>10</v>
      </c>
      <c r="B11" t="s">
        <v>64</v>
      </c>
      <c r="C11" t="s">
        <v>65</v>
      </c>
      <c r="D11" t="s">
        <v>29</v>
      </c>
      <c r="E11" t="s">
        <v>66</v>
      </c>
      <c r="F11">
        <v>36</v>
      </c>
      <c r="G11">
        <v>1989</v>
      </c>
      <c r="H11">
        <v>35</v>
      </c>
      <c r="I11">
        <v>35</v>
      </c>
      <c r="J11">
        <v>3150</v>
      </c>
      <c r="K11">
        <v>35</v>
      </c>
      <c r="L11">
        <v>71</v>
      </c>
      <c r="M11">
        <v>2.0299999999999998</v>
      </c>
      <c r="N11">
        <v>198</v>
      </c>
      <c r="O11">
        <v>127</v>
      </c>
      <c r="P11">
        <v>64.099999999999994</v>
      </c>
      <c r="Q11">
        <v>4</v>
      </c>
      <c r="R11">
        <v>8</v>
      </c>
      <c r="S11">
        <v>23</v>
      </c>
      <c r="T11">
        <v>4</v>
      </c>
      <c r="U11">
        <v>11.4</v>
      </c>
      <c r="V11">
        <v>7</v>
      </c>
      <c r="W11">
        <v>6</v>
      </c>
      <c r="X11">
        <v>0</v>
      </c>
      <c r="Y11">
        <v>1</v>
      </c>
      <c r="Z11">
        <v>0</v>
      </c>
      <c r="AA11" t="s">
        <v>25</v>
      </c>
      <c r="AB11" t="s">
        <v>67</v>
      </c>
    </row>
    <row r="12" spans="1:28">
      <c r="A12">
        <v>11</v>
      </c>
      <c r="B12" t="s">
        <v>68</v>
      </c>
      <c r="C12" t="s">
        <v>69</v>
      </c>
      <c r="D12" t="s">
        <v>29</v>
      </c>
      <c r="E12" t="s">
        <v>70</v>
      </c>
      <c r="F12">
        <v>22</v>
      </c>
      <c r="G12">
        <v>2003</v>
      </c>
      <c r="H12">
        <v>3</v>
      </c>
      <c r="I12">
        <v>3</v>
      </c>
      <c r="J12">
        <v>270</v>
      </c>
      <c r="K12">
        <v>3</v>
      </c>
      <c r="L12">
        <v>2</v>
      </c>
      <c r="M12">
        <v>0.67</v>
      </c>
      <c r="N12">
        <v>12</v>
      </c>
      <c r="O12">
        <v>10</v>
      </c>
      <c r="P12">
        <v>83.3</v>
      </c>
      <c r="Q12">
        <v>2</v>
      </c>
      <c r="R12">
        <v>0</v>
      </c>
      <c r="S12">
        <v>1</v>
      </c>
      <c r="T12">
        <v>1</v>
      </c>
      <c r="U12">
        <v>33.299999999999997</v>
      </c>
      <c r="V12">
        <v>0</v>
      </c>
      <c r="W12">
        <v>0</v>
      </c>
      <c r="X12">
        <v>0</v>
      </c>
      <c r="Y12">
        <v>0</v>
      </c>
      <c r="AA12" t="s">
        <v>25</v>
      </c>
      <c r="AB12" t="s">
        <v>71</v>
      </c>
    </row>
    <row r="13" spans="1:28">
      <c r="A13">
        <v>12</v>
      </c>
      <c r="B13" t="s">
        <v>72</v>
      </c>
      <c r="C13" t="s">
        <v>73</v>
      </c>
      <c r="D13" t="s">
        <v>29</v>
      </c>
      <c r="E13" t="s">
        <v>74</v>
      </c>
      <c r="F13">
        <v>29</v>
      </c>
      <c r="G13">
        <v>1996</v>
      </c>
      <c r="H13">
        <v>1</v>
      </c>
      <c r="I13">
        <v>0</v>
      </c>
      <c r="J13">
        <v>45</v>
      </c>
      <c r="K13">
        <v>0.5</v>
      </c>
      <c r="L13">
        <v>0</v>
      </c>
      <c r="M13">
        <v>0</v>
      </c>
      <c r="N13">
        <v>0</v>
      </c>
      <c r="O13">
        <v>0</v>
      </c>
      <c r="Q13">
        <v>0</v>
      </c>
      <c r="R13">
        <v>0</v>
      </c>
      <c r="S13">
        <v>0</v>
      </c>
      <c r="T13">
        <v>0</v>
      </c>
      <c r="V13">
        <v>0</v>
      </c>
      <c r="W13">
        <v>0</v>
      </c>
      <c r="X13">
        <v>0</v>
      </c>
      <c r="Y13">
        <v>0</v>
      </c>
      <c r="AA13" t="s">
        <v>25</v>
      </c>
      <c r="AB13" t="s">
        <v>75</v>
      </c>
    </row>
    <row r="14" spans="1:28">
      <c r="A14">
        <v>13</v>
      </c>
      <c r="B14" t="s">
        <v>76</v>
      </c>
      <c r="C14" t="s">
        <v>49</v>
      </c>
      <c r="D14" t="s">
        <v>29</v>
      </c>
      <c r="E14" t="s">
        <v>46</v>
      </c>
      <c r="F14">
        <v>28</v>
      </c>
      <c r="G14">
        <v>1997</v>
      </c>
      <c r="H14">
        <v>37</v>
      </c>
      <c r="I14">
        <v>37</v>
      </c>
      <c r="J14">
        <v>3330</v>
      </c>
      <c r="K14">
        <v>37</v>
      </c>
      <c r="L14">
        <v>51</v>
      </c>
      <c r="M14">
        <v>1.38</v>
      </c>
      <c r="N14">
        <v>156</v>
      </c>
      <c r="O14">
        <v>104</v>
      </c>
      <c r="P14">
        <v>67.3</v>
      </c>
      <c r="Q14">
        <v>11</v>
      </c>
      <c r="R14">
        <v>11</v>
      </c>
      <c r="S14">
        <v>15</v>
      </c>
      <c r="T14">
        <v>11</v>
      </c>
      <c r="U14">
        <v>29.7</v>
      </c>
      <c r="V14">
        <v>6</v>
      </c>
      <c r="W14">
        <v>5</v>
      </c>
      <c r="X14">
        <v>1</v>
      </c>
      <c r="Y14">
        <v>0</v>
      </c>
      <c r="Z14">
        <v>16.7</v>
      </c>
      <c r="AA14" t="s">
        <v>25</v>
      </c>
      <c r="AB14" t="s">
        <v>77</v>
      </c>
    </row>
    <row r="15" spans="1:28">
      <c r="A15">
        <v>14</v>
      </c>
      <c r="B15" t="s">
        <v>78</v>
      </c>
      <c r="C15" t="s">
        <v>79</v>
      </c>
      <c r="D15" t="s">
        <v>29</v>
      </c>
      <c r="E15" t="s">
        <v>34</v>
      </c>
      <c r="F15">
        <v>25</v>
      </c>
      <c r="G15">
        <v>2000</v>
      </c>
      <c r="H15">
        <v>18</v>
      </c>
      <c r="I15">
        <v>18</v>
      </c>
      <c r="J15">
        <v>1620</v>
      </c>
      <c r="K15">
        <v>18</v>
      </c>
      <c r="L15">
        <v>28</v>
      </c>
      <c r="M15">
        <v>1.56</v>
      </c>
      <c r="N15">
        <v>82</v>
      </c>
      <c r="O15">
        <v>53</v>
      </c>
      <c r="P15">
        <v>65.900000000000006</v>
      </c>
      <c r="Q15">
        <v>6</v>
      </c>
      <c r="R15">
        <v>4</v>
      </c>
      <c r="S15">
        <v>8</v>
      </c>
      <c r="T15">
        <v>7</v>
      </c>
      <c r="U15">
        <v>38.9</v>
      </c>
      <c r="V15">
        <v>1</v>
      </c>
      <c r="W15">
        <v>1</v>
      </c>
      <c r="X15">
        <v>0</v>
      </c>
      <c r="Y15">
        <v>0</v>
      </c>
      <c r="Z15">
        <v>0</v>
      </c>
      <c r="AA15" t="s">
        <v>25</v>
      </c>
      <c r="AB15" t="s">
        <v>80</v>
      </c>
    </row>
    <row r="16" spans="1:28">
      <c r="A16">
        <v>15</v>
      </c>
      <c r="B16" t="s">
        <v>81</v>
      </c>
      <c r="C16" t="s">
        <v>28</v>
      </c>
      <c r="D16" t="s">
        <v>29</v>
      </c>
      <c r="E16" t="s">
        <v>74</v>
      </c>
      <c r="F16">
        <v>29</v>
      </c>
      <c r="G16">
        <v>1996</v>
      </c>
      <c r="H16">
        <v>5</v>
      </c>
      <c r="I16">
        <v>5</v>
      </c>
      <c r="J16">
        <v>437</v>
      </c>
      <c r="K16">
        <v>4.9000000000000004</v>
      </c>
      <c r="L16">
        <v>8</v>
      </c>
      <c r="M16">
        <v>1.65</v>
      </c>
      <c r="N16">
        <v>14</v>
      </c>
      <c r="O16">
        <v>6</v>
      </c>
      <c r="P16">
        <v>42.9</v>
      </c>
      <c r="Q16">
        <v>1</v>
      </c>
      <c r="R16">
        <v>0</v>
      </c>
      <c r="S16">
        <v>4</v>
      </c>
      <c r="T16">
        <v>1</v>
      </c>
      <c r="U16">
        <v>20</v>
      </c>
      <c r="V16">
        <v>1</v>
      </c>
      <c r="W16">
        <v>1</v>
      </c>
      <c r="X16">
        <v>0</v>
      </c>
      <c r="Y16">
        <v>0</v>
      </c>
      <c r="Z16">
        <v>0</v>
      </c>
      <c r="AA16" t="s">
        <v>25</v>
      </c>
      <c r="AB16" t="s">
        <v>82</v>
      </c>
    </row>
    <row r="17" spans="1:28">
      <c r="A17">
        <v>16</v>
      </c>
      <c r="B17" t="s">
        <v>83</v>
      </c>
      <c r="C17" t="s">
        <v>49</v>
      </c>
      <c r="D17" t="s">
        <v>29</v>
      </c>
      <c r="E17" t="s">
        <v>50</v>
      </c>
      <c r="F17">
        <v>32</v>
      </c>
      <c r="G17">
        <v>1993</v>
      </c>
      <c r="H17">
        <v>12</v>
      </c>
      <c r="I17">
        <v>12</v>
      </c>
      <c r="J17">
        <v>1080</v>
      </c>
      <c r="K17">
        <v>12</v>
      </c>
      <c r="L17">
        <v>24</v>
      </c>
      <c r="M17">
        <v>2</v>
      </c>
      <c r="N17">
        <v>63</v>
      </c>
      <c r="O17">
        <v>39</v>
      </c>
      <c r="P17">
        <v>61.9</v>
      </c>
      <c r="Q17">
        <v>0</v>
      </c>
      <c r="R17">
        <v>2</v>
      </c>
      <c r="S17">
        <v>10</v>
      </c>
      <c r="T17">
        <v>0</v>
      </c>
      <c r="U17">
        <v>0</v>
      </c>
      <c r="V17">
        <v>1</v>
      </c>
      <c r="W17">
        <v>1</v>
      </c>
      <c r="X17">
        <v>0</v>
      </c>
      <c r="Y17">
        <v>0</v>
      </c>
      <c r="Z17">
        <v>0</v>
      </c>
      <c r="AA17" t="s">
        <v>25</v>
      </c>
      <c r="AB17" t="s">
        <v>84</v>
      </c>
    </row>
    <row r="18" spans="1:28">
      <c r="A18">
        <v>17</v>
      </c>
      <c r="B18" t="s">
        <v>85</v>
      </c>
      <c r="C18" t="s">
        <v>79</v>
      </c>
      <c r="D18" t="s">
        <v>29</v>
      </c>
      <c r="E18" t="s">
        <v>86</v>
      </c>
      <c r="F18">
        <v>23</v>
      </c>
      <c r="G18">
        <v>2002</v>
      </c>
      <c r="H18">
        <v>5</v>
      </c>
      <c r="I18">
        <v>3</v>
      </c>
      <c r="J18">
        <v>379</v>
      </c>
      <c r="K18">
        <v>4.2</v>
      </c>
      <c r="L18">
        <v>5</v>
      </c>
      <c r="M18">
        <v>1.19</v>
      </c>
      <c r="N18">
        <v>13</v>
      </c>
      <c r="O18">
        <v>8</v>
      </c>
      <c r="P18">
        <v>61.5</v>
      </c>
      <c r="Q18">
        <v>1</v>
      </c>
      <c r="R18">
        <v>2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AA18" t="s">
        <v>25</v>
      </c>
      <c r="AB18" t="s">
        <v>87</v>
      </c>
    </row>
    <row r="19" spans="1:28">
      <c r="A19">
        <v>18</v>
      </c>
      <c r="B19" t="s">
        <v>88</v>
      </c>
      <c r="C19" t="s">
        <v>89</v>
      </c>
      <c r="D19" t="s">
        <v>29</v>
      </c>
      <c r="E19" t="s">
        <v>90</v>
      </c>
      <c r="F19">
        <v>26</v>
      </c>
      <c r="G19">
        <v>1998</v>
      </c>
      <c r="H19">
        <v>37</v>
      </c>
      <c r="I19">
        <v>37</v>
      </c>
      <c r="J19">
        <v>3330</v>
      </c>
      <c r="K19">
        <v>37</v>
      </c>
      <c r="L19">
        <v>49</v>
      </c>
      <c r="M19">
        <v>1.32</v>
      </c>
      <c r="N19">
        <v>154</v>
      </c>
      <c r="O19">
        <v>105</v>
      </c>
      <c r="P19">
        <v>68.2</v>
      </c>
      <c r="Q19">
        <v>13</v>
      </c>
      <c r="R19">
        <v>11</v>
      </c>
      <c r="S19">
        <v>13</v>
      </c>
      <c r="T19">
        <v>10</v>
      </c>
      <c r="U19">
        <v>27</v>
      </c>
      <c r="V19">
        <v>8</v>
      </c>
      <c r="W19">
        <v>5</v>
      </c>
      <c r="X19">
        <v>3</v>
      </c>
      <c r="Y19">
        <v>0</v>
      </c>
      <c r="Z19">
        <v>37.5</v>
      </c>
      <c r="AA19" t="s">
        <v>25</v>
      </c>
      <c r="AB19" t="s">
        <v>91</v>
      </c>
    </row>
    <row r="20" spans="1:28">
      <c r="A20">
        <v>19</v>
      </c>
      <c r="B20" t="s">
        <v>92</v>
      </c>
      <c r="C20" t="s">
        <v>93</v>
      </c>
      <c r="D20" t="s">
        <v>29</v>
      </c>
      <c r="E20" t="s">
        <v>94</v>
      </c>
      <c r="F20">
        <v>22</v>
      </c>
      <c r="G20">
        <v>2003</v>
      </c>
      <c r="H20">
        <v>7</v>
      </c>
      <c r="I20">
        <v>7</v>
      </c>
      <c r="J20">
        <v>630</v>
      </c>
      <c r="K20">
        <v>7</v>
      </c>
      <c r="L20">
        <v>7</v>
      </c>
      <c r="M20">
        <v>1</v>
      </c>
      <c r="N20">
        <v>17</v>
      </c>
      <c r="O20">
        <v>10</v>
      </c>
      <c r="P20">
        <v>58.8</v>
      </c>
      <c r="Q20">
        <v>3</v>
      </c>
      <c r="R20">
        <v>2</v>
      </c>
      <c r="S20">
        <v>2</v>
      </c>
      <c r="T20">
        <v>2</v>
      </c>
      <c r="U20">
        <v>28.6</v>
      </c>
      <c r="V20">
        <v>1</v>
      </c>
      <c r="W20">
        <v>1</v>
      </c>
      <c r="X20">
        <v>0</v>
      </c>
      <c r="Y20">
        <v>0</v>
      </c>
      <c r="Z20">
        <v>0</v>
      </c>
      <c r="AA20" t="s">
        <v>25</v>
      </c>
      <c r="AB20" t="s">
        <v>95</v>
      </c>
    </row>
    <row r="21" spans="1:28">
      <c r="A21">
        <v>20</v>
      </c>
      <c r="B21" t="s">
        <v>96</v>
      </c>
      <c r="C21" t="s">
        <v>97</v>
      </c>
      <c r="D21" t="s">
        <v>29</v>
      </c>
      <c r="E21" t="s">
        <v>42</v>
      </c>
      <c r="F21">
        <v>23</v>
      </c>
      <c r="G21">
        <v>2002</v>
      </c>
      <c r="H21">
        <v>32</v>
      </c>
      <c r="I21">
        <v>32</v>
      </c>
      <c r="J21">
        <v>2880</v>
      </c>
      <c r="K21">
        <v>32</v>
      </c>
      <c r="L21">
        <v>39</v>
      </c>
      <c r="M21">
        <v>1.22</v>
      </c>
      <c r="N21">
        <v>118</v>
      </c>
      <c r="O21">
        <v>78</v>
      </c>
      <c r="P21">
        <v>66.900000000000006</v>
      </c>
      <c r="Q21">
        <v>18</v>
      </c>
      <c r="R21">
        <v>10</v>
      </c>
      <c r="S21">
        <v>4</v>
      </c>
      <c r="T21">
        <v>8</v>
      </c>
      <c r="U21">
        <v>25</v>
      </c>
      <c r="V21">
        <v>4</v>
      </c>
      <c r="W21">
        <v>4</v>
      </c>
      <c r="X21">
        <v>0</v>
      </c>
      <c r="Y21">
        <v>0</v>
      </c>
      <c r="Z21">
        <v>0</v>
      </c>
      <c r="AA21" t="s">
        <v>25</v>
      </c>
      <c r="AB21" t="s">
        <v>98</v>
      </c>
    </row>
    <row r="22" spans="1:28">
      <c r="A22">
        <v>21</v>
      </c>
      <c r="B22" t="s">
        <v>99</v>
      </c>
      <c r="C22" t="s">
        <v>100</v>
      </c>
      <c r="D22" t="s">
        <v>29</v>
      </c>
      <c r="E22" t="s">
        <v>101</v>
      </c>
      <c r="F22">
        <v>33</v>
      </c>
      <c r="G22">
        <v>1992</v>
      </c>
      <c r="H22">
        <v>38</v>
      </c>
      <c r="I22">
        <v>38</v>
      </c>
      <c r="J22">
        <v>3420</v>
      </c>
      <c r="K22">
        <v>38</v>
      </c>
      <c r="L22">
        <v>51</v>
      </c>
      <c r="M22">
        <v>1.34</v>
      </c>
      <c r="N22">
        <v>149</v>
      </c>
      <c r="O22">
        <v>98</v>
      </c>
      <c r="P22">
        <v>65.8</v>
      </c>
      <c r="Q22">
        <v>15</v>
      </c>
      <c r="R22">
        <v>7</v>
      </c>
      <c r="S22">
        <v>16</v>
      </c>
      <c r="T22">
        <v>9</v>
      </c>
      <c r="U22">
        <v>23.7</v>
      </c>
      <c r="V22">
        <v>4</v>
      </c>
      <c r="W22">
        <v>3</v>
      </c>
      <c r="X22">
        <v>0</v>
      </c>
      <c r="Y22">
        <v>1</v>
      </c>
      <c r="Z22">
        <v>0</v>
      </c>
      <c r="AA22" t="s">
        <v>25</v>
      </c>
      <c r="AB22" t="s">
        <v>102</v>
      </c>
    </row>
    <row r="23" spans="1:28">
      <c r="A23">
        <v>22</v>
      </c>
      <c r="B23" t="s">
        <v>103</v>
      </c>
      <c r="C23" t="s">
        <v>104</v>
      </c>
      <c r="D23" t="s">
        <v>29</v>
      </c>
      <c r="E23" t="s">
        <v>30</v>
      </c>
      <c r="F23">
        <v>24</v>
      </c>
      <c r="G23">
        <v>2000</v>
      </c>
      <c r="H23">
        <v>10</v>
      </c>
      <c r="I23">
        <v>10</v>
      </c>
      <c r="J23">
        <v>867</v>
      </c>
      <c r="K23">
        <v>9.6</v>
      </c>
      <c r="L23">
        <v>18</v>
      </c>
      <c r="M23">
        <v>1.87</v>
      </c>
      <c r="N23">
        <v>51</v>
      </c>
      <c r="O23">
        <v>33</v>
      </c>
      <c r="P23">
        <v>64.7</v>
      </c>
      <c r="Q23">
        <v>3</v>
      </c>
      <c r="R23">
        <v>1</v>
      </c>
      <c r="S23">
        <v>6</v>
      </c>
      <c r="T23">
        <v>2</v>
      </c>
      <c r="U23">
        <v>20</v>
      </c>
      <c r="V23">
        <v>2</v>
      </c>
      <c r="W23">
        <v>1</v>
      </c>
      <c r="X23">
        <v>1</v>
      </c>
      <c r="Y23">
        <v>0</v>
      </c>
      <c r="Z23">
        <v>50</v>
      </c>
      <c r="AA23" t="s">
        <v>25</v>
      </c>
      <c r="AB23" t="s">
        <v>105</v>
      </c>
    </row>
    <row r="24" spans="1:28">
      <c r="A24">
        <v>23</v>
      </c>
      <c r="B24" t="s">
        <v>106</v>
      </c>
      <c r="C24" t="s">
        <v>45</v>
      </c>
      <c r="D24" t="s">
        <v>29</v>
      </c>
      <c r="E24" t="s">
        <v>54</v>
      </c>
      <c r="F24">
        <v>32</v>
      </c>
      <c r="G24">
        <v>1992</v>
      </c>
      <c r="H24">
        <v>32</v>
      </c>
      <c r="I24">
        <v>32</v>
      </c>
      <c r="J24">
        <v>2835</v>
      </c>
      <c r="K24">
        <v>31.5</v>
      </c>
      <c r="L24">
        <v>39</v>
      </c>
      <c r="M24">
        <v>1.24</v>
      </c>
      <c r="N24">
        <v>134</v>
      </c>
      <c r="O24">
        <v>95</v>
      </c>
      <c r="P24">
        <v>70.900000000000006</v>
      </c>
      <c r="Q24">
        <v>16</v>
      </c>
      <c r="R24">
        <v>6</v>
      </c>
      <c r="S24">
        <v>10</v>
      </c>
      <c r="T24">
        <v>8</v>
      </c>
      <c r="U24">
        <v>25</v>
      </c>
      <c r="V24">
        <v>1</v>
      </c>
      <c r="W24">
        <v>0</v>
      </c>
      <c r="X24">
        <v>1</v>
      </c>
      <c r="Y24">
        <v>0</v>
      </c>
      <c r="Z24">
        <v>100</v>
      </c>
      <c r="AA24" t="s">
        <v>25</v>
      </c>
      <c r="AB24" t="s">
        <v>107</v>
      </c>
    </row>
    <row r="25" spans="1:28">
      <c r="A25">
        <v>24</v>
      </c>
      <c r="B25" t="s">
        <v>108</v>
      </c>
      <c r="C25" t="s">
        <v>100</v>
      </c>
      <c r="D25" t="s">
        <v>29</v>
      </c>
      <c r="E25" t="s">
        <v>74</v>
      </c>
      <c r="F25">
        <v>32</v>
      </c>
      <c r="G25">
        <v>1992</v>
      </c>
      <c r="H25">
        <v>3</v>
      </c>
      <c r="I25">
        <v>3</v>
      </c>
      <c r="J25">
        <v>270</v>
      </c>
      <c r="K25">
        <v>3</v>
      </c>
      <c r="L25">
        <v>4</v>
      </c>
      <c r="M25">
        <v>1.33</v>
      </c>
      <c r="N25">
        <v>12</v>
      </c>
      <c r="O25">
        <v>8</v>
      </c>
      <c r="P25">
        <v>66.7</v>
      </c>
      <c r="Q25">
        <v>0</v>
      </c>
      <c r="R25">
        <v>1</v>
      </c>
      <c r="S25">
        <v>2</v>
      </c>
      <c r="T25">
        <v>1</v>
      </c>
      <c r="U25">
        <v>33.299999999999997</v>
      </c>
      <c r="V25">
        <v>0</v>
      </c>
      <c r="W25">
        <v>0</v>
      </c>
      <c r="X25">
        <v>0</v>
      </c>
      <c r="Y25">
        <v>0</v>
      </c>
      <c r="AA25" t="s">
        <v>25</v>
      </c>
      <c r="AB25" t="s">
        <v>109</v>
      </c>
    </row>
    <row r="26" spans="1:28">
      <c r="A26">
        <v>25</v>
      </c>
      <c r="B26" t="s">
        <v>110</v>
      </c>
      <c r="C26" t="s">
        <v>28</v>
      </c>
      <c r="D26" t="s">
        <v>29</v>
      </c>
      <c r="E26" t="s">
        <v>58</v>
      </c>
      <c r="F26">
        <v>27</v>
      </c>
      <c r="G26">
        <v>1997</v>
      </c>
      <c r="H26">
        <v>16</v>
      </c>
      <c r="I26">
        <v>16</v>
      </c>
      <c r="J26">
        <v>1440</v>
      </c>
      <c r="K26">
        <v>16</v>
      </c>
      <c r="L26">
        <v>29</v>
      </c>
      <c r="M26">
        <v>1.81</v>
      </c>
      <c r="N26">
        <v>67</v>
      </c>
      <c r="O26">
        <v>38</v>
      </c>
      <c r="P26">
        <v>56.7</v>
      </c>
      <c r="Q26">
        <v>4</v>
      </c>
      <c r="R26">
        <v>6</v>
      </c>
      <c r="S26">
        <v>6</v>
      </c>
      <c r="T26">
        <v>3</v>
      </c>
      <c r="U26">
        <v>18.8</v>
      </c>
      <c r="V26">
        <v>4</v>
      </c>
      <c r="W26">
        <v>4</v>
      </c>
      <c r="X26">
        <v>0</v>
      </c>
      <c r="Y26">
        <v>0</v>
      </c>
      <c r="Z26">
        <v>0</v>
      </c>
      <c r="AA26" t="s">
        <v>25</v>
      </c>
      <c r="AB26" t="s">
        <v>111</v>
      </c>
    </row>
    <row r="27" spans="1:28">
      <c r="A27">
        <v>26</v>
      </c>
      <c r="B27" t="s">
        <v>112</v>
      </c>
      <c r="C27" t="s">
        <v>113</v>
      </c>
      <c r="D27" t="s">
        <v>29</v>
      </c>
      <c r="E27" t="s">
        <v>114</v>
      </c>
      <c r="F27">
        <v>25</v>
      </c>
      <c r="G27">
        <v>1999</v>
      </c>
      <c r="H27">
        <v>38</v>
      </c>
      <c r="I27">
        <v>38</v>
      </c>
      <c r="J27">
        <v>3420</v>
      </c>
      <c r="K27">
        <v>38</v>
      </c>
      <c r="L27">
        <v>54</v>
      </c>
      <c r="M27">
        <v>1.42</v>
      </c>
      <c r="N27">
        <v>163</v>
      </c>
      <c r="O27">
        <v>109</v>
      </c>
      <c r="P27">
        <v>66.900000000000006</v>
      </c>
      <c r="Q27">
        <v>13</v>
      </c>
      <c r="R27">
        <v>18</v>
      </c>
      <c r="S27">
        <v>7</v>
      </c>
      <c r="T27">
        <v>11</v>
      </c>
      <c r="U27">
        <v>28.9</v>
      </c>
      <c r="V27">
        <v>6</v>
      </c>
      <c r="W27">
        <v>6</v>
      </c>
      <c r="X27">
        <v>0</v>
      </c>
      <c r="Y27">
        <v>0</v>
      </c>
      <c r="Z27">
        <v>0</v>
      </c>
      <c r="AA27" t="s">
        <v>25</v>
      </c>
      <c r="AB27" t="s">
        <v>115</v>
      </c>
    </row>
    <row r="28" spans="1:28">
      <c r="A28">
        <v>27</v>
      </c>
      <c r="B28" t="s">
        <v>116</v>
      </c>
      <c r="C28" t="s">
        <v>49</v>
      </c>
      <c r="D28" t="s">
        <v>29</v>
      </c>
      <c r="E28" t="s">
        <v>117</v>
      </c>
      <c r="F28">
        <v>31</v>
      </c>
      <c r="G28">
        <v>1994</v>
      </c>
      <c r="H28">
        <v>38</v>
      </c>
      <c r="I28">
        <v>38</v>
      </c>
      <c r="J28">
        <v>3420</v>
      </c>
      <c r="K28">
        <v>38</v>
      </c>
      <c r="L28">
        <v>50</v>
      </c>
      <c r="M28">
        <v>1.32</v>
      </c>
      <c r="N28">
        <v>149</v>
      </c>
      <c r="O28">
        <v>99</v>
      </c>
      <c r="P28">
        <v>66.400000000000006</v>
      </c>
      <c r="Q28">
        <v>13</v>
      </c>
      <c r="R28">
        <v>10</v>
      </c>
      <c r="S28">
        <v>15</v>
      </c>
      <c r="T28">
        <v>11</v>
      </c>
      <c r="U28">
        <v>28.9</v>
      </c>
      <c r="V28">
        <v>4</v>
      </c>
      <c r="W28">
        <v>3</v>
      </c>
      <c r="X28">
        <v>1</v>
      </c>
      <c r="Y28">
        <v>0</v>
      </c>
      <c r="Z28">
        <v>25</v>
      </c>
      <c r="AA28" t="s">
        <v>25</v>
      </c>
      <c r="AB28" t="s">
        <v>118</v>
      </c>
    </row>
    <row r="29" spans="1:28">
      <c r="A29">
        <v>28</v>
      </c>
      <c r="B29" t="s">
        <v>119</v>
      </c>
      <c r="C29" t="s">
        <v>49</v>
      </c>
      <c r="D29" t="s">
        <v>29</v>
      </c>
      <c r="E29" t="s">
        <v>120</v>
      </c>
      <c r="F29">
        <v>33</v>
      </c>
      <c r="G29">
        <v>1992</v>
      </c>
      <c r="H29">
        <v>27</v>
      </c>
      <c r="I29">
        <v>27</v>
      </c>
      <c r="J29">
        <v>2416</v>
      </c>
      <c r="K29">
        <v>26.8</v>
      </c>
      <c r="L29">
        <v>38</v>
      </c>
      <c r="M29">
        <v>1.42</v>
      </c>
      <c r="N29">
        <v>127</v>
      </c>
      <c r="O29">
        <v>89</v>
      </c>
      <c r="P29">
        <v>70.099999999999994</v>
      </c>
      <c r="Q29">
        <v>10</v>
      </c>
      <c r="R29">
        <v>5</v>
      </c>
      <c r="S29">
        <v>12</v>
      </c>
      <c r="T29">
        <v>7</v>
      </c>
      <c r="U29">
        <v>25.9</v>
      </c>
      <c r="V29">
        <v>2</v>
      </c>
      <c r="W29">
        <v>2</v>
      </c>
      <c r="X29">
        <v>0</v>
      </c>
      <c r="Y29">
        <v>0</v>
      </c>
      <c r="Z29">
        <v>0</v>
      </c>
      <c r="AA29" t="s">
        <v>25</v>
      </c>
      <c r="AB29" t="s">
        <v>121</v>
      </c>
    </row>
    <row r="30" spans="1:28">
      <c r="A30">
        <v>29</v>
      </c>
      <c r="B30" t="s">
        <v>122</v>
      </c>
      <c r="C30" t="s">
        <v>49</v>
      </c>
      <c r="D30" t="s">
        <v>29</v>
      </c>
      <c r="E30" t="s">
        <v>120</v>
      </c>
      <c r="F30">
        <v>27</v>
      </c>
      <c r="G30">
        <v>1998</v>
      </c>
      <c r="H30">
        <v>12</v>
      </c>
      <c r="I30">
        <v>11</v>
      </c>
      <c r="J30">
        <v>1004</v>
      </c>
      <c r="K30">
        <v>11.2</v>
      </c>
      <c r="L30">
        <v>17</v>
      </c>
      <c r="M30">
        <v>1.52</v>
      </c>
      <c r="N30">
        <v>41</v>
      </c>
      <c r="O30">
        <v>24</v>
      </c>
      <c r="P30">
        <v>58.5</v>
      </c>
      <c r="Q30">
        <v>4</v>
      </c>
      <c r="R30">
        <v>2</v>
      </c>
      <c r="S30">
        <v>5</v>
      </c>
      <c r="T30">
        <v>1</v>
      </c>
      <c r="U30">
        <v>9.1</v>
      </c>
      <c r="V30">
        <v>3</v>
      </c>
      <c r="W30">
        <v>3</v>
      </c>
      <c r="X30">
        <v>0</v>
      </c>
      <c r="Y30">
        <v>0</v>
      </c>
      <c r="Z30">
        <v>0</v>
      </c>
      <c r="AA30" t="s">
        <v>25</v>
      </c>
      <c r="AB30" t="s">
        <v>123</v>
      </c>
    </row>
    <row r="31" spans="1:28">
      <c r="A31">
        <v>30</v>
      </c>
      <c r="B31" t="s">
        <v>124</v>
      </c>
      <c r="C31" t="s">
        <v>37</v>
      </c>
      <c r="D31" t="s">
        <v>29</v>
      </c>
      <c r="E31" t="s">
        <v>38</v>
      </c>
      <c r="F31">
        <v>29</v>
      </c>
      <c r="G31">
        <v>1995</v>
      </c>
      <c r="H31">
        <v>37</v>
      </c>
      <c r="I31">
        <v>37</v>
      </c>
      <c r="J31">
        <v>3330</v>
      </c>
      <c r="K31">
        <v>37</v>
      </c>
      <c r="L31">
        <v>26</v>
      </c>
      <c r="M31">
        <v>0.7</v>
      </c>
      <c r="N31">
        <v>86</v>
      </c>
      <c r="O31">
        <v>59</v>
      </c>
      <c r="P31">
        <v>69.8</v>
      </c>
      <c r="Q31">
        <v>25</v>
      </c>
      <c r="R31">
        <v>7</v>
      </c>
      <c r="S31">
        <v>5</v>
      </c>
      <c r="T31">
        <v>19</v>
      </c>
      <c r="U31">
        <v>51.4</v>
      </c>
      <c r="V31">
        <v>0</v>
      </c>
      <c r="W31">
        <v>0</v>
      </c>
      <c r="X31">
        <v>0</v>
      </c>
      <c r="Y31">
        <v>0</v>
      </c>
      <c r="AA31" t="s">
        <v>25</v>
      </c>
      <c r="AB31" t="s">
        <v>125</v>
      </c>
    </row>
    <row r="32" spans="1:28">
      <c r="A32">
        <v>31</v>
      </c>
      <c r="B32" t="s">
        <v>126</v>
      </c>
      <c r="C32" t="s">
        <v>53</v>
      </c>
      <c r="D32" t="s">
        <v>29</v>
      </c>
      <c r="E32" t="s">
        <v>70</v>
      </c>
      <c r="F32">
        <v>22</v>
      </c>
      <c r="G32">
        <v>2003</v>
      </c>
      <c r="H32">
        <v>35</v>
      </c>
      <c r="I32">
        <v>35</v>
      </c>
      <c r="J32">
        <v>3150</v>
      </c>
      <c r="K32">
        <v>35</v>
      </c>
      <c r="L32">
        <v>46</v>
      </c>
      <c r="M32">
        <v>1.31</v>
      </c>
      <c r="N32">
        <v>154</v>
      </c>
      <c r="O32">
        <v>108</v>
      </c>
      <c r="P32">
        <v>70.099999999999994</v>
      </c>
      <c r="Q32">
        <v>12</v>
      </c>
      <c r="R32">
        <v>12</v>
      </c>
      <c r="S32">
        <v>11</v>
      </c>
      <c r="T32">
        <v>10</v>
      </c>
      <c r="U32">
        <v>28.6</v>
      </c>
      <c r="V32">
        <v>3</v>
      </c>
      <c r="W32">
        <v>2</v>
      </c>
      <c r="X32">
        <v>1</v>
      </c>
      <c r="Y32">
        <v>0</v>
      </c>
      <c r="Z32">
        <v>33.299999999999997</v>
      </c>
      <c r="AA32" t="s">
        <v>25</v>
      </c>
      <c r="AB32" t="s">
        <v>127</v>
      </c>
    </row>
    <row r="33" spans="1:28">
      <c r="A33">
        <v>32</v>
      </c>
      <c r="B33" t="s">
        <v>128</v>
      </c>
      <c r="C33" t="s">
        <v>129</v>
      </c>
      <c r="D33" t="s">
        <v>29</v>
      </c>
      <c r="E33" t="s">
        <v>50</v>
      </c>
      <c r="F33">
        <v>32</v>
      </c>
      <c r="G33">
        <v>1993</v>
      </c>
      <c r="H33">
        <v>23</v>
      </c>
      <c r="I33">
        <v>23</v>
      </c>
      <c r="J33">
        <v>2070</v>
      </c>
      <c r="K33">
        <v>23</v>
      </c>
      <c r="L33">
        <v>37</v>
      </c>
      <c r="M33">
        <v>1.61</v>
      </c>
      <c r="N33">
        <v>102</v>
      </c>
      <c r="O33">
        <v>65</v>
      </c>
      <c r="P33">
        <v>63.7</v>
      </c>
      <c r="Q33">
        <v>3</v>
      </c>
      <c r="R33">
        <v>8</v>
      </c>
      <c r="S33">
        <v>12</v>
      </c>
      <c r="T33">
        <v>4</v>
      </c>
      <c r="U33">
        <v>17.399999999999999</v>
      </c>
      <c r="V33">
        <v>3</v>
      </c>
      <c r="W33">
        <v>3</v>
      </c>
      <c r="X33">
        <v>0</v>
      </c>
      <c r="Y33">
        <v>0</v>
      </c>
      <c r="Z33">
        <v>0</v>
      </c>
      <c r="AA33" t="s">
        <v>25</v>
      </c>
      <c r="AB33" t="s">
        <v>130</v>
      </c>
    </row>
    <row r="34" spans="1:28">
      <c r="A34">
        <v>33</v>
      </c>
      <c r="B34" t="s">
        <v>131</v>
      </c>
      <c r="C34" t="s">
        <v>37</v>
      </c>
      <c r="D34" t="s">
        <v>29</v>
      </c>
      <c r="E34" t="s">
        <v>86</v>
      </c>
      <c r="F34">
        <v>27</v>
      </c>
      <c r="G34">
        <v>1997</v>
      </c>
      <c r="H34">
        <v>35</v>
      </c>
      <c r="I34">
        <v>35</v>
      </c>
      <c r="J34">
        <v>3039</v>
      </c>
      <c r="K34">
        <v>33.799999999999997</v>
      </c>
      <c r="L34">
        <v>49</v>
      </c>
      <c r="M34">
        <v>1.45</v>
      </c>
      <c r="N34">
        <v>147</v>
      </c>
      <c r="O34">
        <v>97</v>
      </c>
      <c r="P34">
        <v>66.7</v>
      </c>
      <c r="Q34">
        <v>13</v>
      </c>
      <c r="R34">
        <v>8</v>
      </c>
      <c r="S34">
        <v>14</v>
      </c>
      <c r="T34">
        <v>9</v>
      </c>
      <c r="U34">
        <v>25.7</v>
      </c>
      <c r="V34">
        <v>2</v>
      </c>
      <c r="W34">
        <v>2</v>
      </c>
      <c r="X34">
        <v>0</v>
      </c>
      <c r="Y34">
        <v>0</v>
      </c>
      <c r="Z34">
        <v>0</v>
      </c>
      <c r="AA34" t="s">
        <v>25</v>
      </c>
      <c r="AB34" t="s">
        <v>132</v>
      </c>
    </row>
    <row r="35" spans="1:28">
      <c r="A35">
        <v>34</v>
      </c>
      <c r="B35" t="s">
        <v>133</v>
      </c>
      <c r="C35" t="s">
        <v>97</v>
      </c>
      <c r="D35" t="s">
        <v>29</v>
      </c>
      <c r="E35" t="s">
        <v>74</v>
      </c>
      <c r="F35">
        <v>33</v>
      </c>
      <c r="G35">
        <v>1992</v>
      </c>
      <c r="H35">
        <v>31</v>
      </c>
      <c r="I35">
        <v>30</v>
      </c>
      <c r="J35">
        <v>2668</v>
      </c>
      <c r="K35">
        <v>29.6</v>
      </c>
      <c r="L35">
        <v>39</v>
      </c>
      <c r="M35">
        <v>1.32</v>
      </c>
      <c r="N35">
        <v>132</v>
      </c>
      <c r="O35">
        <v>93</v>
      </c>
      <c r="P35">
        <v>70.5</v>
      </c>
      <c r="Q35">
        <v>10</v>
      </c>
      <c r="R35">
        <v>10</v>
      </c>
      <c r="S35">
        <v>10</v>
      </c>
      <c r="T35">
        <v>7</v>
      </c>
      <c r="U35">
        <v>23.3</v>
      </c>
      <c r="V35">
        <v>5</v>
      </c>
      <c r="W35">
        <v>4</v>
      </c>
      <c r="X35">
        <v>1</v>
      </c>
      <c r="Y35">
        <v>0</v>
      </c>
      <c r="Z35">
        <v>20</v>
      </c>
      <c r="AA35" t="s">
        <v>25</v>
      </c>
      <c r="AB35" t="s">
        <v>134</v>
      </c>
    </row>
    <row r="36" spans="1:28">
      <c r="A36">
        <v>35</v>
      </c>
      <c r="B36" t="s">
        <v>135</v>
      </c>
      <c r="C36" t="s">
        <v>49</v>
      </c>
      <c r="D36" t="s">
        <v>29</v>
      </c>
      <c r="E36" t="s">
        <v>62</v>
      </c>
      <c r="F36">
        <v>22</v>
      </c>
      <c r="G36">
        <v>2002</v>
      </c>
      <c r="H36">
        <v>4</v>
      </c>
      <c r="I36">
        <v>4</v>
      </c>
      <c r="J36">
        <v>360</v>
      </c>
      <c r="K36">
        <v>4</v>
      </c>
      <c r="L36">
        <v>6</v>
      </c>
      <c r="M36">
        <v>1.5</v>
      </c>
      <c r="N36">
        <v>20</v>
      </c>
      <c r="O36">
        <v>14</v>
      </c>
      <c r="P36">
        <v>70</v>
      </c>
      <c r="Q36">
        <v>1</v>
      </c>
      <c r="R36">
        <v>0</v>
      </c>
      <c r="S36">
        <v>3</v>
      </c>
      <c r="T36">
        <v>1</v>
      </c>
      <c r="U36">
        <v>25</v>
      </c>
      <c r="V36">
        <v>1</v>
      </c>
      <c r="W36">
        <v>1</v>
      </c>
      <c r="X36">
        <v>0</v>
      </c>
      <c r="Y36">
        <v>0</v>
      </c>
      <c r="Z36">
        <v>0</v>
      </c>
      <c r="AA36" t="s">
        <v>25</v>
      </c>
      <c r="AB36" t="s">
        <v>136</v>
      </c>
    </row>
    <row r="37" spans="1:28">
      <c r="A37">
        <v>36</v>
      </c>
      <c r="B37" t="s">
        <v>137</v>
      </c>
      <c r="C37" t="s">
        <v>138</v>
      </c>
      <c r="D37" t="s">
        <v>29</v>
      </c>
      <c r="E37" t="s">
        <v>90</v>
      </c>
      <c r="F37">
        <v>23</v>
      </c>
      <c r="G37">
        <v>2001</v>
      </c>
      <c r="H37">
        <v>1</v>
      </c>
      <c r="I37">
        <v>1</v>
      </c>
      <c r="J37">
        <v>90</v>
      </c>
      <c r="K37">
        <v>1</v>
      </c>
      <c r="L37">
        <v>3</v>
      </c>
      <c r="M37">
        <v>3</v>
      </c>
      <c r="N37">
        <v>4</v>
      </c>
      <c r="O37">
        <v>1</v>
      </c>
      <c r="P37">
        <v>25</v>
      </c>
      <c r="Q37">
        <v>1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AA37" t="s">
        <v>25</v>
      </c>
      <c r="AB37" t="s">
        <v>139</v>
      </c>
    </row>
    <row r="38" spans="1:28">
      <c r="A38">
        <v>37</v>
      </c>
      <c r="B38" t="s">
        <v>140</v>
      </c>
      <c r="C38" t="s">
        <v>53</v>
      </c>
      <c r="D38" t="s">
        <v>29</v>
      </c>
      <c r="E38" t="s">
        <v>141</v>
      </c>
      <c r="F38">
        <v>22</v>
      </c>
      <c r="G38">
        <v>2002</v>
      </c>
      <c r="H38">
        <v>38</v>
      </c>
      <c r="I38">
        <v>38</v>
      </c>
      <c r="J38">
        <v>3420</v>
      </c>
      <c r="K38">
        <v>38</v>
      </c>
      <c r="L38">
        <v>46</v>
      </c>
      <c r="M38">
        <v>1.21</v>
      </c>
      <c r="N38">
        <v>151</v>
      </c>
      <c r="O38">
        <v>103</v>
      </c>
      <c r="P38">
        <v>69.5</v>
      </c>
      <c r="Q38">
        <v>14</v>
      </c>
      <c r="R38">
        <v>11</v>
      </c>
      <c r="S38">
        <v>13</v>
      </c>
      <c r="T38">
        <v>10</v>
      </c>
      <c r="U38">
        <v>26.3</v>
      </c>
      <c r="V38">
        <v>6</v>
      </c>
      <c r="W38">
        <v>5</v>
      </c>
      <c r="X38">
        <v>1</v>
      </c>
      <c r="Y38">
        <v>0</v>
      </c>
      <c r="Z38">
        <v>16.7</v>
      </c>
      <c r="AA38" t="s">
        <v>25</v>
      </c>
      <c r="AB38" t="s">
        <v>142</v>
      </c>
    </row>
    <row r="39" spans="1:28">
      <c r="A39">
        <v>38</v>
      </c>
      <c r="B39" t="s">
        <v>143</v>
      </c>
      <c r="C39" t="s">
        <v>61</v>
      </c>
      <c r="D39" t="s">
        <v>29</v>
      </c>
      <c r="E39" t="s">
        <v>94</v>
      </c>
      <c r="F39">
        <v>28</v>
      </c>
      <c r="G39">
        <v>1996</v>
      </c>
      <c r="H39">
        <v>31</v>
      </c>
      <c r="I39">
        <v>31</v>
      </c>
      <c r="J39">
        <v>2790</v>
      </c>
      <c r="K39">
        <v>31</v>
      </c>
      <c r="L39">
        <v>50</v>
      </c>
      <c r="M39">
        <v>1.61</v>
      </c>
      <c r="N39">
        <v>133</v>
      </c>
      <c r="O39">
        <v>83</v>
      </c>
      <c r="P39">
        <v>62.4</v>
      </c>
      <c r="Q39">
        <v>7</v>
      </c>
      <c r="R39">
        <v>9</v>
      </c>
      <c r="S39">
        <v>15</v>
      </c>
      <c r="T39">
        <v>7</v>
      </c>
      <c r="U39">
        <v>22.6</v>
      </c>
      <c r="V39">
        <v>2</v>
      </c>
      <c r="W39">
        <v>2</v>
      </c>
      <c r="X39">
        <v>0</v>
      </c>
      <c r="Y39">
        <v>0</v>
      </c>
      <c r="Z39">
        <v>0</v>
      </c>
      <c r="AA39" t="s">
        <v>25</v>
      </c>
      <c r="AB39" t="s">
        <v>144</v>
      </c>
    </row>
    <row r="40" spans="1:28">
      <c r="A40">
        <v>39</v>
      </c>
      <c r="B40" t="s">
        <v>145</v>
      </c>
      <c r="C40" t="s">
        <v>100</v>
      </c>
      <c r="D40" t="s">
        <v>29</v>
      </c>
      <c r="E40" t="s">
        <v>66</v>
      </c>
      <c r="F40">
        <v>21</v>
      </c>
      <c r="G40">
        <v>2004</v>
      </c>
      <c r="H40">
        <v>3</v>
      </c>
      <c r="I40">
        <v>3</v>
      </c>
      <c r="J40">
        <v>270</v>
      </c>
      <c r="K40">
        <v>3</v>
      </c>
      <c r="L40">
        <v>4</v>
      </c>
      <c r="M40">
        <v>1.33</v>
      </c>
      <c r="N40">
        <v>14</v>
      </c>
      <c r="O40">
        <v>10</v>
      </c>
      <c r="P40">
        <v>71.400000000000006</v>
      </c>
      <c r="Q40">
        <v>0</v>
      </c>
      <c r="R40">
        <v>2</v>
      </c>
      <c r="S40">
        <v>1</v>
      </c>
      <c r="T40">
        <v>0</v>
      </c>
      <c r="U40">
        <v>0</v>
      </c>
      <c r="V40">
        <v>1</v>
      </c>
      <c r="W40">
        <v>1</v>
      </c>
      <c r="X40">
        <v>0</v>
      </c>
      <c r="Y40">
        <v>0</v>
      </c>
      <c r="Z40">
        <v>0</v>
      </c>
      <c r="AA40" t="s">
        <v>25</v>
      </c>
      <c r="AB40" t="s">
        <v>146</v>
      </c>
    </row>
    <row r="41" spans="1:28">
      <c r="A41">
        <v>40</v>
      </c>
      <c r="B41" t="s">
        <v>147</v>
      </c>
      <c r="C41" t="s">
        <v>49</v>
      </c>
      <c r="D41" t="s">
        <v>29</v>
      </c>
      <c r="E41" t="s">
        <v>30</v>
      </c>
      <c r="F41">
        <v>28</v>
      </c>
      <c r="G41">
        <v>1997</v>
      </c>
      <c r="H41">
        <v>3</v>
      </c>
      <c r="I41">
        <v>2</v>
      </c>
      <c r="J41">
        <v>213</v>
      </c>
      <c r="K41">
        <v>2.4</v>
      </c>
      <c r="L41">
        <v>4</v>
      </c>
      <c r="M41">
        <v>1.69</v>
      </c>
      <c r="N41">
        <v>13</v>
      </c>
      <c r="O41">
        <v>9</v>
      </c>
      <c r="P41">
        <v>69.2</v>
      </c>
      <c r="Q41">
        <v>1</v>
      </c>
      <c r="R41">
        <v>0</v>
      </c>
      <c r="S41">
        <v>1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AA41" t="s">
        <v>25</v>
      </c>
      <c r="AB41" t="s">
        <v>148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41"/>
  <sheetViews>
    <sheetView tabSelected="1" workbookViewId="0">
      <selection activeCell="K1" sqref="K1"/>
    </sheetView>
  </sheetViews>
  <sheetFormatPr defaultRowHeight="14.25"/>
  <cols>
    <col min="1" max="1" width="22" customWidth="1"/>
    <col min="2" max="2" width="8.25" bestFit="1" customWidth="1"/>
    <col min="3" max="3" width="18" customWidth="1"/>
    <col min="4" max="4" width="3.5" customWidth="1"/>
    <col min="5" max="5" width="3.125" customWidth="1"/>
    <col min="6" max="6" width="5" customWidth="1"/>
    <col min="7" max="7" width="4.25" customWidth="1"/>
    <col min="8" max="8" width="3.75" customWidth="1"/>
    <col min="9" max="9" width="2.875" customWidth="1"/>
    <col min="10" max="10" width="4.75" customWidth="1"/>
    <col min="11" max="12" width="5.625" customWidth="1"/>
    <col min="13" max="13" width="5.375" customWidth="1"/>
    <col min="14" max="14" width="4.75" customWidth="1"/>
    <col min="15" max="15" width="5.625" customWidth="1"/>
    <col min="16" max="16" width="4.625" customWidth="1"/>
    <col min="17" max="17" width="3.75" customWidth="1"/>
    <col min="18" max="18" width="4.125" customWidth="1"/>
    <col min="19" max="19" width="5" customWidth="1"/>
    <col min="20" max="20" width="7.5" customWidth="1"/>
    <col min="21" max="21" width="6.875" customWidth="1"/>
    <col min="22" max="22" width="12" customWidth="1"/>
    <col min="23" max="23" width="18" customWidth="1"/>
  </cols>
  <sheetData>
    <row r="1" spans="1:23" ht="30">
      <c r="A1" s="4" t="s">
        <v>1</v>
      </c>
      <c r="B1" s="4" t="s">
        <v>2</v>
      </c>
      <c r="C1" s="4" t="s">
        <v>4</v>
      </c>
      <c r="D1" s="4" t="s">
        <v>5</v>
      </c>
      <c r="E1" s="4" t="s">
        <v>7</v>
      </c>
      <c r="F1" s="4" t="s">
        <v>8</v>
      </c>
      <c r="G1" s="4" t="s">
        <v>9</v>
      </c>
      <c r="H1" s="4" t="s">
        <v>10</v>
      </c>
      <c r="I1" s="4" t="s">
        <v>11</v>
      </c>
      <c r="J1" s="4" t="s">
        <v>12</v>
      </c>
      <c r="K1" s="4" t="s">
        <v>13</v>
      </c>
      <c r="L1" s="4" t="s">
        <v>14</v>
      </c>
      <c r="M1" s="4" t="s">
        <v>15</v>
      </c>
      <c r="N1" s="4" t="s">
        <v>19</v>
      </c>
      <c r="O1" s="4" t="s">
        <v>20</v>
      </c>
      <c r="P1" s="4" t="s">
        <v>21</v>
      </c>
      <c r="Q1" s="4" t="s">
        <v>22</v>
      </c>
      <c r="R1" s="4" t="s">
        <v>23</v>
      </c>
      <c r="S1" s="4" t="s">
        <v>149</v>
      </c>
      <c r="T1" s="4" t="s">
        <v>150</v>
      </c>
      <c r="U1" s="4" t="s">
        <v>151</v>
      </c>
      <c r="V1" s="4" t="s">
        <v>152</v>
      </c>
      <c r="W1" s="4" t="s">
        <v>153</v>
      </c>
    </row>
    <row r="2" spans="1:23">
      <c r="A2" t="s">
        <v>27</v>
      </c>
      <c r="B2" t="s">
        <v>28</v>
      </c>
      <c r="C2" t="s">
        <v>30</v>
      </c>
      <c r="D2">
        <v>32</v>
      </c>
      <c r="E2">
        <v>26</v>
      </c>
      <c r="F2">
        <v>26</v>
      </c>
      <c r="G2">
        <v>2340</v>
      </c>
      <c r="H2">
        <v>26</v>
      </c>
      <c r="I2">
        <v>31</v>
      </c>
      <c r="J2">
        <v>1.19</v>
      </c>
      <c r="K2" s="5">
        <v>88</v>
      </c>
      <c r="L2" s="5">
        <v>57</v>
      </c>
      <c r="M2" s="6">
        <v>64.8</v>
      </c>
      <c r="N2" s="5">
        <v>8</v>
      </c>
      <c r="O2" s="5">
        <v>30.8</v>
      </c>
      <c r="P2" s="5">
        <v>2</v>
      </c>
      <c r="Q2" s="5">
        <v>2</v>
      </c>
      <c r="R2" s="5">
        <v>0</v>
      </c>
      <c r="S2" s="5">
        <f t="shared" ref="S2:S41" si="0">IFERROR(N2/J2,0)</f>
        <v>6.7226890756302522</v>
      </c>
      <c r="T2" s="5">
        <f t="shared" ref="T2:T41" si="1">IFERROR(L2/J2,0)</f>
        <v>47.899159663865547</v>
      </c>
      <c r="U2" s="5">
        <f t="shared" ref="U2:U41" si="2">IFERROR(K2/J2,0)</f>
        <v>73.94957983193278</v>
      </c>
      <c r="V2" s="7">
        <f t="shared" ref="V2:V41" si="3">IFERROR(R2/P2,0)</f>
        <v>0</v>
      </c>
      <c r="W2" t="str">
        <f t="shared" ref="W2:W41" si="4">IF(G2&gt;=900,"Yes","No")</f>
        <v>Yes</v>
      </c>
    </row>
    <row r="3" spans="1:23">
      <c r="A3" t="s">
        <v>32</v>
      </c>
      <c r="B3" t="s">
        <v>33</v>
      </c>
      <c r="C3" t="s">
        <v>34</v>
      </c>
      <c r="D3">
        <v>32</v>
      </c>
      <c r="E3">
        <v>20</v>
      </c>
      <c r="F3">
        <v>20</v>
      </c>
      <c r="G3">
        <v>1800</v>
      </c>
      <c r="H3">
        <v>20</v>
      </c>
      <c r="I3">
        <v>37</v>
      </c>
      <c r="J3">
        <v>1.85</v>
      </c>
      <c r="K3" s="5">
        <v>113</v>
      </c>
      <c r="L3" s="5">
        <v>76</v>
      </c>
      <c r="M3" s="6">
        <v>67.3</v>
      </c>
      <c r="N3" s="5">
        <v>0</v>
      </c>
      <c r="O3" s="5">
        <v>0</v>
      </c>
      <c r="P3" s="5">
        <v>6</v>
      </c>
      <c r="Q3" s="5">
        <v>5</v>
      </c>
      <c r="R3" s="5">
        <v>0</v>
      </c>
      <c r="S3" s="5">
        <f t="shared" si="0"/>
        <v>0</v>
      </c>
      <c r="T3" s="5">
        <f t="shared" si="1"/>
        <v>41.081081081081081</v>
      </c>
      <c r="U3" s="5">
        <f t="shared" si="2"/>
        <v>61.081081081081081</v>
      </c>
      <c r="V3" s="7">
        <f t="shared" si="3"/>
        <v>0</v>
      </c>
      <c r="W3" t="str">
        <f t="shared" si="4"/>
        <v>Yes</v>
      </c>
    </row>
    <row r="4" spans="1:23">
      <c r="A4" t="s">
        <v>36</v>
      </c>
      <c r="B4" t="s">
        <v>37</v>
      </c>
      <c r="C4" t="s">
        <v>38</v>
      </c>
      <c r="D4">
        <v>30</v>
      </c>
      <c r="E4">
        <v>1</v>
      </c>
      <c r="F4">
        <v>1</v>
      </c>
      <c r="G4">
        <v>90</v>
      </c>
      <c r="H4">
        <v>1</v>
      </c>
      <c r="I4">
        <v>1</v>
      </c>
      <c r="J4">
        <v>1</v>
      </c>
      <c r="K4" s="5">
        <v>3</v>
      </c>
      <c r="L4" s="5">
        <v>2</v>
      </c>
      <c r="M4" s="6">
        <v>66.7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f t="shared" si="0"/>
        <v>0</v>
      </c>
      <c r="T4" s="5">
        <f t="shared" si="1"/>
        <v>2</v>
      </c>
      <c r="U4" s="5">
        <f t="shared" si="2"/>
        <v>3</v>
      </c>
      <c r="V4" s="7">
        <f t="shared" si="3"/>
        <v>0</v>
      </c>
      <c r="W4" t="str">
        <f t="shared" si="4"/>
        <v>No</v>
      </c>
    </row>
    <row r="5" spans="1:23">
      <c r="A5" t="s">
        <v>40</v>
      </c>
      <c r="B5" t="s">
        <v>41</v>
      </c>
      <c r="C5" t="s">
        <v>42</v>
      </c>
      <c r="D5">
        <v>27</v>
      </c>
      <c r="E5">
        <v>6</v>
      </c>
      <c r="F5">
        <v>6</v>
      </c>
      <c r="G5">
        <v>540</v>
      </c>
      <c r="H5">
        <v>6</v>
      </c>
      <c r="I5">
        <v>11</v>
      </c>
      <c r="J5">
        <v>1.83</v>
      </c>
      <c r="K5" s="5">
        <v>24</v>
      </c>
      <c r="L5" s="5">
        <v>13</v>
      </c>
      <c r="M5" s="6">
        <v>54.2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f t="shared" si="0"/>
        <v>0</v>
      </c>
      <c r="T5" s="5">
        <f t="shared" si="1"/>
        <v>7.1038251366120218</v>
      </c>
      <c r="U5" s="5">
        <f t="shared" si="2"/>
        <v>13.114754098360656</v>
      </c>
      <c r="V5" s="7">
        <f t="shared" si="3"/>
        <v>0</v>
      </c>
      <c r="W5" t="str">
        <f t="shared" si="4"/>
        <v>No</v>
      </c>
    </row>
    <row r="6" spans="1:23">
      <c r="A6" t="s">
        <v>44</v>
      </c>
      <c r="B6" t="s">
        <v>45</v>
      </c>
      <c r="C6" t="s">
        <v>46</v>
      </c>
      <c r="D6">
        <v>32</v>
      </c>
      <c r="E6">
        <v>1</v>
      </c>
      <c r="F6">
        <v>1</v>
      </c>
      <c r="G6">
        <v>90</v>
      </c>
      <c r="H6">
        <v>1</v>
      </c>
      <c r="I6">
        <v>0</v>
      </c>
      <c r="J6">
        <v>0</v>
      </c>
      <c r="K6" s="5">
        <v>3</v>
      </c>
      <c r="L6" s="5">
        <v>3</v>
      </c>
      <c r="M6" s="6">
        <v>100</v>
      </c>
      <c r="N6" s="5">
        <v>1</v>
      </c>
      <c r="O6" s="5">
        <v>100</v>
      </c>
      <c r="P6" s="5">
        <v>1</v>
      </c>
      <c r="Q6" s="5">
        <v>0</v>
      </c>
      <c r="R6" s="5">
        <v>0</v>
      </c>
      <c r="S6" s="5">
        <f t="shared" si="0"/>
        <v>0</v>
      </c>
      <c r="T6" s="5">
        <f t="shared" si="1"/>
        <v>0</v>
      </c>
      <c r="U6" s="5">
        <f t="shared" si="2"/>
        <v>0</v>
      </c>
      <c r="V6" s="7">
        <f t="shared" si="3"/>
        <v>0</v>
      </c>
      <c r="W6" t="str">
        <f t="shared" si="4"/>
        <v>No</v>
      </c>
    </row>
    <row r="7" spans="1:23">
      <c r="A7" t="s">
        <v>48</v>
      </c>
      <c r="B7" t="s">
        <v>49</v>
      </c>
      <c r="C7" t="s">
        <v>50</v>
      </c>
      <c r="D7">
        <v>32</v>
      </c>
      <c r="E7">
        <v>3</v>
      </c>
      <c r="F7">
        <v>3</v>
      </c>
      <c r="G7">
        <v>270</v>
      </c>
      <c r="H7">
        <v>3</v>
      </c>
      <c r="I7">
        <v>7</v>
      </c>
      <c r="J7">
        <v>2.33</v>
      </c>
      <c r="K7" s="5">
        <v>14</v>
      </c>
      <c r="L7" s="5">
        <v>7</v>
      </c>
      <c r="M7" s="6">
        <v>50</v>
      </c>
      <c r="N7" s="5">
        <v>0</v>
      </c>
      <c r="O7" s="5">
        <v>0</v>
      </c>
      <c r="P7" s="5">
        <v>1</v>
      </c>
      <c r="Q7" s="5">
        <v>1</v>
      </c>
      <c r="R7" s="5">
        <v>0</v>
      </c>
      <c r="S7" s="5">
        <f t="shared" si="0"/>
        <v>0</v>
      </c>
      <c r="T7" s="5">
        <f t="shared" si="1"/>
        <v>3.0042918454935621</v>
      </c>
      <c r="U7" s="5">
        <f t="shared" si="2"/>
        <v>6.0085836909871242</v>
      </c>
      <c r="V7" s="7">
        <f t="shared" si="3"/>
        <v>0</v>
      </c>
      <c r="W7" t="str">
        <f t="shared" si="4"/>
        <v>No</v>
      </c>
    </row>
    <row r="8" spans="1:23">
      <c r="A8" t="s">
        <v>52</v>
      </c>
      <c r="B8" t="s">
        <v>53</v>
      </c>
      <c r="C8" t="s">
        <v>54</v>
      </c>
      <c r="D8">
        <v>34</v>
      </c>
      <c r="E8">
        <v>7</v>
      </c>
      <c r="F8">
        <v>6</v>
      </c>
      <c r="G8">
        <v>585</v>
      </c>
      <c r="H8">
        <v>6.5</v>
      </c>
      <c r="I8">
        <v>10</v>
      </c>
      <c r="J8">
        <v>1.54</v>
      </c>
      <c r="K8" s="5">
        <v>29</v>
      </c>
      <c r="L8" s="5">
        <v>19</v>
      </c>
      <c r="M8" s="6">
        <v>65.5</v>
      </c>
      <c r="N8" s="5">
        <v>2</v>
      </c>
      <c r="O8" s="5">
        <v>33.299999999999997</v>
      </c>
      <c r="P8" s="5">
        <v>1</v>
      </c>
      <c r="Q8" s="5">
        <v>1</v>
      </c>
      <c r="R8" s="5">
        <v>0</v>
      </c>
      <c r="S8" s="5">
        <f t="shared" si="0"/>
        <v>1.2987012987012987</v>
      </c>
      <c r="T8" s="5">
        <f t="shared" si="1"/>
        <v>12.337662337662337</v>
      </c>
      <c r="U8" s="5">
        <f t="shared" si="2"/>
        <v>18.831168831168831</v>
      </c>
      <c r="V8" s="7">
        <f t="shared" si="3"/>
        <v>0</v>
      </c>
      <c r="W8" t="str">
        <f t="shared" si="4"/>
        <v>No</v>
      </c>
    </row>
    <row r="9" spans="1:23">
      <c r="A9" t="s">
        <v>56</v>
      </c>
      <c r="B9" t="s">
        <v>57</v>
      </c>
      <c r="C9" t="s">
        <v>58</v>
      </c>
      <c r="D9">
        <v>34</v>
      </c>
      <c r="E9">
        <v>22</v>
      </c>
      <c r="F9">
        <v>22</v>
      </c>
      <c r="G9">
        <v>1980</v>
      </c>
      <c r="H9">
        <v>22</v>
      </c>
      <c r="I9">
        <v>27</v>
      </c>
      <c r="J9">
        <v>1.23</v>
      </c>
      <c r="K9" s="5">
        <v>90</v>
      </c>
      <c r="L9" s="5">
        <v>63</v>
      </c>
      <c r="M9" s="6">
        <v>70</v>
      </c>
      <c r="N9" s="5">
        <v>5</v>
      </c>
      <c r="O9" s="5">
        <v>22.7</v>
      </c>
      <c r="P9" s="5">
        <v>2</v>
      </c>
      <c r="Q9" s="5">
        <v>2</v>
      </c>
      <c r="R9" s="5">
        <v>0</v>
      </c>
      <c r="S9" s="5">
        <f t="shared" si="0"/>
        <v>4.0650406504065044</v>
      </c>
      <c r="T9" s="5">
        <f t="shared" si="1"/>
        <v>51.219512195121951</v>
      </c>
      <c r="U9" s="5">
        <f t="shared" si="2"/>
        <v>73.170731707317074</v>
      </c>
      <c r="V9" s="7">
        <f t="shared" si="3"/>
        <v>0</v>
      </c>
      <c r="W9" t="str">
        <f t="shared" si="4"/>
        <v>Yes</v>
      </c>
    </row>
    <row r="10" spans="1:23">
      <c r="A10" t="s">
        <v>60</v>
      </c>
      <c r="B10" t="s">
        <v>61</v>
      </c>
      <c r="C10" t="s">
        <v>62</v>
      </c>
      <c r="D10">
        <v>26</v>
      </c>
      <c r="E10">
        <v>34</v>
      </c>
      <c r="F10">
        <v>34</v>
      </c>
      <c r="G10">
        <v>3060</v>
      </c>
      <c r="H10">
        <v>34</v>
      </c>
      <c r="I10">
        <v>29</v>
      </c>
      <c r="J10">
        <v>0.85</v>
      </c>
      <c r="K10" s="5">
        <v>106</v>
      </c>
      <c r="L10" s="5">
        <v>75</v>
      </c>
      <c r="M10" s="6">
        <v>72.599999999999994</v>
      </c>
      <c r="N10" s="5">
        <v>15</v>
      </c>
      <c r="O10" s="5">
        <v>44.1</v>
      </c>
      <c r="P10" s="5">
        <v>1</v>
      </c>
      <c r="Q10" s="5">
        <v>0</v>
      </c>
      <c r="R10" s="5">
        <v>1</v>
      </c>
      <c r="S10" s="5">
        <f t="shared" si="0"/>
        <v>17.647058823529413</v>
      </c>
      <c r="T10" s="5">
        <f t="shared" si="1"/>
        <v>88.235294117647058</v>
      </c>
      <c r="U10" s="5">
        <f t="shared" si="2"/>
        <v>124.70588235294117</v>
      </c>
      <c r="V10" s="7">
        <f t="shared" si="3"/>
        <v>1</v>
      </c>
      <c r="W10" t="str">
        <f t="shared" si="4"/>
        <v>Yes</v>
      </c>
    </row>
    <row r="11" spans="1:23">
      <c r="A11" t="s">
        <v>64</v>
      </c>
      <c r="B11" t="s">
        <v>65</v>
      </c>
      <c r="C11" t="s">
        <v>66</v>
      </c>
      <c r="D11">
        <v>36</v>
      </c>
      <c r="E11">
        <v>35</v>
      </c>
      <c r="F11">
        <v>35</v>
      </c>
      <c r="G11">
        <v>3150</v>
      </c>
      <c r="H11">
        <v>35</v>
      </c>
      <c r="I11">
        <v>71</v>
      </c>
      <c r="J11">
        <v>2.0299999999999998</v>
      </c>
      <c r="K11" s="5">
        <v>198</v>
      </c>
      <c r="L11" s="5">
        <v>127</v>
      </c>
      <c r="M11" s="6">
        <v>64.099999999999994</v>
      </c>
      <c r="N11" s="5">
        <v>4</v>
      </c>
      <c r="O11" s="5">
        <v>11.4</v>
      </c>
      <c r="P11" s="5">
        <v>7</v>
      </c>
      <c r="Q11" s="5">
        <v>6</v>
      </c>
      <c r="R11" s="5">
        <v>0</v>
      </c>
      <c r="S11" s="5">
        <f t="shared" si="0"/>
        <v>1.9704433497536948</v>
      </c>
      <c r="T11" s="5">
        <f t="shared" si="1"/>
        <v>62.561576354679808</v>
      </c>
      <c r="U11" s="5">
        <f t="shared" si="2"/>
        <v>97.536945812807886</v>
      </c>
      <c r="V11" s="7">
        <f t="shared" si="3"/>
        <v>0</v>
      </c>
      <c r="W11" t="str">
        <f t="shared" si="4"/>
        <v>Yes</v>
      </c>
    </row>
    <row r="12" spans="1:23">
      <c r="A12" t="s">
        <v>68</v>
      </c>
      <c r="B12" t="s">
        <v>69</v>
      </c>
      <c r="C12" t="s">
        <v>70</v>
      </c>
      <c r="D12">
        <v>22</v>
      </c>
      <c r="E12">
        <v>3</v>
      </c>
      <c r="F12">
        <v>3</v>
      </c>
      <c r="G12">
        <v>270</v>
      </c>
      <c r="H12">
        <v>3</v>
      </c>
      <c r="I12">
        <v>2</v>
      </c>
      <c r="J12">
        <v>0.67</v>
      </c>
      <c r="K12" s="5">
        <v>12</v>
      </c>
      <c r="L12" s="5">
        <v>10</v>
      </c>
      <c r="M12" s="6">
        <v>83.3</v>
      </c>
      <c r="N12" s="5">
        <v>1</v>
      </c>
      <c r="O12" s="5">
        <v>33.299999999999997</v>
      </c>
      <c r="P12" s="5">
        <v>0</v>
      </c>
      <c r="Q12" s="5">
        <v>0</v>
      </c>
      <c r="R12" s="5">
        <v>0</v>
      </c>
      <c r="S12" s="5">
        <f t="shared" si="0"/>
        <v>1.4925373134328357</v>
      </c>
      <c r="T12" s="5">
        <f t="shared" si="1"/>
        <v>14.925373134328357</v>
      </c>
      <c r="U12" s="5">
        <f t="shared" si="2"/>
        <v>17.910447761194028</v>
      </c>
      <c r="V12" s="7">
        <f t="shared" si="3"/>
        <v>0</v>
      </c>
      <c r="W12" t="str">
        <f t="shared" si="4"/>
        <v>No</v>
      </c>
    </row>
    <row r="13" spans="1:23">
      <c r="A13" t="s">
        <v>72</v>
      </c>
      <c r="B13" t="s">
        <v>73</v>
      </c>
      <c r="C13" t="s">
        <v>74</v>
      </c>
      <c r="D13">
        <v>29</v>
      </c>
      <c r="E13">
        <v>1</v>
      </c>
      <c r="F13">
        <v>0</v>
      </c>
      <c r="G13">
        <v>45</v>
      </c>
      <c r="H13">
        <v>0.5</v>
      </c>
      <c r="I13">
        <v>0</v>
      </c>
      <c r="J13">
        <v>0</v>
      </c>
      <c r="K13" s="5">
        <v>0</v>
      </c>
      <c r="L13" s="5">
        <v>0</v>
      </c>
      <c r="M13" s="6"/>
      <c r="N13" s="5">
        <v>0</v>
      </c>
      <c r="O13" s="5"/>
      <c r="P13" s="5">
        <v>0</v>
      </c>
      <c r="Q13" s="5">
        <v>0</v>
      </c>
      <c r="R13" s="5">
        <v>0</v>
      </c>
      <c r="S13" s="5">
        <f t="shared" si="0"/>
        <v>0</v>
      </c>
      <c r="T13" s="5">
        <f t="shared" si="1"/>
        <v>0</v>
      </c>
      <c r="U13" s="5">
        <f t="shared" si="2"/>
        <v>0</v>
      </c>
      <c r="V13" s="7">
        <f t="shared" si="3"/>
        <v>0</v>
      </c>
      <c r="W13" t="str">
        <f t="shared" si="4"/>
        <v>No</v>
      </c>
    </row>
    <row r="14" spans="1:23">
      <c r="A14" t="s">
        <v>76</v>
      </c>
      <c r="B14" t="s">
        <v>49</v>
      </c>
      <c r="C14" t="s">
        <v>46</v>
      </c>
      <c r="D14">
        <v>28</v>
      </c>
      <c r="E14">
        <v>37</v>
      </c>
      <c r="F14">
        <v>37</v>
      </c>
      <c r="G14">
        <v>3330</v>
      </c>
      <c r="H14">
        <v>37</v>
      </c>
      <c r="I14">
        <v>51</v>
      </c>
      <c r="J14">
        <v>1.38</v>
      </c>
      <c r="K14" s="5">
        <v>156</v>
      </c>
      <c r="L14" s="5">
        <v>104</v>
      </c>
      <c r="M14" s="6">
        <v>67.3</v>
      </c>
      <c r="N14" s="5">
        <v>11</v>
      </c>
      <c r="O14" s="5">
        <v>29.7</v>
      </c>
      <c r="P14" s="5">
        <v>6</v>
      </c>
      <c r="Q14" s="5">
        <v>5</v>
      </c>
      <c r="R14" s="5">
        <v>1</v>
      </c>
      <c r="S14" s="5">
        <f t="shared" si="0"/>
        <v>7.9710144927536239</v>
      </c>
      <c r="T14" s="5">
        <f t="shared" si="1"/>
        <v>75.362318840579718</v>
      </c>
      <c r="U14" s="5">
        <f t="shared" si="2"/>
        <v>113.04347826086958</v>
      </c>
      <c r="V14" s="7">
        <f t="shared" si="3"/>
        <v>0.16666666666666666</v>
      </c>
      <c r="W14" t="str">
        <f t="shared" si="4"/>
        <v>Yes</v>
      </c>
    </row>
    <row r="15" spans="1:23">
      <c r="A15" t="s">
        <v>78</v>
      </c>
      <c r="B15" t="s">
        <v>79</v>
      </c>
      <c r="C15" t="s">
        <v>34</v>
      </c>
      <c r="D15">
        <v>25</v>
      </c>
      <c r="E15">
        <v>18</v>
      </c>
      <c r="F15">
        <v>18</v>
      </c>
      <c r="G15">
        <v>1620</v>
      </c>
      <c r="H15">
        <v>18</v>
      </c>
      <c r="I15">
        <v>28</v>
      </c>
      <c r="J15">
        <v>1.56</v>
      </c>
      <c r="K15" s="5">
        <v>82</v>
      </c>
      <c r="L15" s="5">
        <v>53</v>
      </c>
      <c r="M15" s="6">
        <v>65.900000000000006</v>
      </c>
      <c r="N15" s="5">
        <v>7</v>
      </c>
      <c r="O15" s="5">
        <v>38.9</v>
      </c>
      <c r="P15" s="5">
        <v>1</v>
      </c>
      <c r="Q15" s="5">
        <v>1</v>
      </c>
      <c r="R15" s="5">
        <v>0</v>
      </c>
      <c r="S15" s="5">
        <f t="shared" si="0"/>
        <v>4.4871794871794872</v>
      </c>
      <c r="T15" s="5">
        <f t="shared" si="1"/>
        <v>33.974358974358971</v>
      </c>
      <c r="U15" s="5">
        <f t="shared" si="2"/>
        <v>52.564102564102562</v>
      </c>
      <c r="V15" s="7">
        <f t="shared" si="3"/>
        <v>0</v>
      </c>
      <c r="W15" t="str">
        <f t="shared" si="4"/>
        <v>Yes</v>
      </c>
    </row>
    <row r="16" spans="1:23">
      <c r="A16" t="s">
        <v>81</v>
      </c>
      <c r="B16" t="s">
        <v>28</v>
      </c>
      <c r="C16" t="s">
        <v>74</v>
      </c>
      <c r="D16">
        <v>29</v>
      </c>
      <c r="E16">
        <v>5</v>
      </c>
      <c r="F16">
        <v>5</v>
      </c>
      <c r="G16">
        <v>437</v>
      </c>
      <c r="H16">
        <v>4.9000000000000004</v>
      </c>
      <c r="I16">
        <v>8</v>
      </c>
      <c r="J16">
        <v>1.65</v>
      </c>
      <c r="K16" s="5">
        <v>14</v>
      </c>
      <c r="L16" s="5">
        <v>6</v>
      </c>
      <c r="M16" s="6">
        <v>42.9</v>
      </c>
      <c r="N16" s="5">
        <v>1</v>
      </c>
      <c r="O16" s="5">
        <v>20</v>
      </c>
      <c r="P16" s="5">
        <v>1</v>
      </c>
      <c r="Q16" s="5">
        <v>1</v>
      </c>
      <c r="R16" s="5">
        <v>0</v>
      </c>
      <c r="S16" s="5">
        <f t="shared" si="0"/>
        <v>0.60606060606060608</v>
      </c>
      <c r="T16" s="5">
        <f t="shared" si="1"/>
        <v>3.6363636363636367</v>
      </c>
      <c r="U16" s="5">
        <f t="shared" si="2"/>
        <v>8.4848484848484844</v>
      </c>
      <c r="V16" s="7">
        <f t="shared" si="3"/>
        <v>0</v>
      </c>
      <c r="W16" t="str">
        <f t="shared" si="4"/>
        <v>No</v>
      </c>
    </row>
    <row r="17" spans="1:23">
      <c r="A17" t="s">
        <v>83</v>
      </c>
      <c r="B17" t="s">
        <v>49</v>
      </c>
      <c r="C17" t="s">
        <v>50</v>
      </c>
      <c r="D17">
        <v>32</v>
      </c>
      <c r="E17">
        <v>12</v>
      </c>
      <c r="F17">
        <v>12</v>
      </c>
      <c r="G17">
        <v>1080</v>
      </c>
      <c r="H17">
        <v>12</v>
      </c>
      <c r="I17">
        <v>24</v>
      </c>
      <c r="J17">
        <v>2</v>
      </c>
      <c r="K17" s="5">
        <v>63</v>
      </c>
      <c r="L17" s="5">
        <v>39</v>
      </c>
      <c r="M17" s="6">
        <v>61.9</v>
      </c>
      <c r="N17" s="5">
        <v>0</v>
      </c>
      <c r="O17" s="5">
        <v>0</v>
      </c>
      <c r="P17" s="5">
        <v>1</v>
      </c>
      <c r="Q17" s="5">
        <v>1</v>
      </c>
      <c r="R17" s="5">
        <v>0</v>
      </c>
      <c r="S17" s="5">
        <f t="shared" si="0"/>
        <v>0</v>
      </c>
      <c r="T17" s="5">
        <f t="shared" si="1"/>
        <v>19.5</v>
      </c>
      <c r="U17" s="5">
        <f t="shared" si="2"/>
        <v>31.5</v>
      </c>
      <c r="V17" s="7">
        <f t="shared" si="3"/>
        <v>0</v>
      </c>
      <c r="W17" t="str">
        <f t="shared" si="4"/>
        <v>Yes</v>
      </c>
    </row>
    <row r="18" spans="1:23">
      <c r="A18" t="s">
        <v>85</v>
      </c>
      <c r="B18" t="s">
        <v>79</v>
      </c>
      <c r="C18" t="s">
        <v>86</v>
      </c>
      <c r="D18">
        <v>23</v>
      </c>
      <c r="E18">
        <v>5</v>
      </c>
      <c r="F18">
        <v>3</v>
      </c>
      <c r="G18">
        <v>379</v>
      </c>
      <c r="H18">
        <v>4.2</v>
      </c>
      <c r="I18">
        <v>5</v>
      </c>
      <c r="J18">
        <v>1.19</v>
      </c>
      <c r="K18" s="5">
        <v>13</v>
      </c>
      <c r="L18" s="5">
        <v>8</v>
      </c>
      <c r="M18" s="6">
        <v>61.5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f t="shared" si="0"/>
        <v>0</v>
      </c>
      <c r="T18" s="5">
        <f t="shared" si="1"/>
        <v>6.7226890756302522</v>
      </c>
      <c r="U18" s="5">
        <f t="shared" si="2"/>
        <v>10.92436974789916</v>
      </c>
      <c r="V18" s="7">
        <f t="shared" si="3"/>
        <v>0</v>
      </c>
      <c r="W18" t="str">
        <f t="shared" si="4"/>
        <v>No</v>
      </c>
    </row>
    <row r="19" spans="1:23">
      <c r="A19" t="s">
        <v>88</v>
      </c>
      <c r="B19" t="s">
        <v>89</v>
      </c>
      <c r="C19" t="s">
        <v>90</v>
      </c>
      <c r="D19">
        <v>26</v>
      </c>
      <c r="E19">
        <v>37</v>
      </c>
      <c r="F19">
        <v>37</v>
      </c>
      <c r="G19">
        <v>3330</v>
      </c>
      <c r="H19">
        <v>37</v>
      </c>
      <c r="I19">
        <v>49</v>
      </c>
      <c r="J19">
        <v>1.32</v>
      </c>
      <c r="K19" s="5">
        <v>154</v>
      </c>
      <c r="L19" s="5">
        <v>105</v>
      </c>
      <c r="M19" s="6">
        <v>68.2</v>
      </c>
      <c r="N19" s="5">
        <v>10</v>
      </c>
      <c r="O19" s="5">
        <v>27</v>
      </c>
      <c r="P19" s="5">
        <v>8</v>
      </c>
      <c r="Q19" s="5">
        <v>5</v>
      </c>
      <c r="R19" s="5">
        <v>3</v>
      </c>
      <c r="S19" s="5">
        <f t="shared" si="0"/>
        <v>7.5757575757575752</v>
      </c>
      <c r="T19" s="5">
        <f t="shared" si="1"/>
        <v>79.545454545454547</v>
      </c>
      <c r="U19" s="5">
        <f t="shared" si="2"/>
        <v>116.66666666666666</v>
      </c>
      <c r="V19" s="7">
        <f t="shared" si="3"/>
        <v>0.375</v>
      </c>
      <c r="W19" t="str">
        <f t="shared" si="4"/>
        <v>Yes</v>
      </c>
    </row>
    <row r="20" spans="1:23">
      <c r="A20" t="s">
        <v>92</v>
      </c>
      <c r="B20" t="s">
        <v>93</v>
      </c>
      <c r="C20" t="s">
        <v>94</v>
      </c>
      <c r="D20">
        <v>22</v>
      </c>
      <c r="E20">
        <v>7</v>
      </c>
      <c r="F20">
        <v>7</v>
      </c>
      <c r="G20">
        <v>630</v>
      </c>
      <c r="H20">
        <v>7</v>
      </c>
      <c r="I20">
        <v>7</v>
      </c>
      <c r="J20">
        <v>1</v>
      </c>
      <c r="K20" s="5">
        <v>17</v>
      </c>
      <c r="L20" s="5">
        <v>10</v>
      </c>
      <c r="M20" s="6">
        <v>58.8</v>
      </c>
      <c r="N20" s="5">
        <v>2</v>
      </c>
      <c r="O20" s="5">
        <v>28.6</v>
      </c>
      <c r="P20" s="5">
        <v>1</v>
      </c>
      <c r="Q20" s="5">
        <v>1</v>
      </c>
      <c r="R20" s="5">
        <v>0</v>
      </c>
      <c r="S20" s="5">
        <f t="shared" si="0"/>
        <v>2</v>
      </c>
      <c r="T20" s="5">
        <f t="shared" si="1"/>
        <v>10</v>
      </c>
      <c r="U20" s="5">
        <f t="shared" si="2"/>
        <v>17</v>
      </c>
      <c r="V20" s="7">
        <f t="shared" si="3"/>
        <v>0</v>
      </c>
      <c r="W20" t="str">
        <f t="shared" si="4"/>
        <v>No</v>
      </c>
    </row>
    <row r="21" spans="1:23">
      <c r="A21" t="s">
        <v>96</v>
      </c>
      <c r="B21" t="s">
        <v>97</v>
      </c>
      <c r="C21" t="s">
        <v>42</v>
      </c>
      <c r="D21">
        <v>23</v>
      </c>
      <c r="E21">
        <v>32</v>
      </c>
      <c r="F21">
        <v>32</v>
      </c>
      <c r="G21">
        <v>2880</v>
      </c>
      <c r="H21">
        <v>32</v>
      </c>
      <c r="I21">
        <v>39</v>
      </c>
      <c r="J21">
        <v>1.22</v>
      </c>
      <c r="K21" s="5">
        <v>118</v>
      </c>
      <c r="L21" s="5">
        <v>78</v>
      </c>
      <c r="M21" s="6">
        <v>66.900000000000006</v>
      </c>
      <c r="N21" s="5">
        <v>8</v>
      </c>
      <c r="O21" s="5">
        <v>25</v>
      </c>
      <c r="P21" s="5">
        <v>4</v>
      </c>
      <c r="Q21" s="5">
        <v>4</v>
      </c>
      <c r="R21" s="5">
        <v>0</v>
      </c>
      <c r="S21" s="5">
        <f t="shared" si="0"/>
        <v>6.557377049180328</v>
      </c>
      <c r="T21" s="5">
        <f t="shared" si="1"/>
        <v>63.934426229508198</v>
      </c>
      <c r="U21" s="5">
        <f t="shared" si="2"/>
        <v>96.721311475409834</v>
      </c>
      <c r="V21" s="7">
        <f t="shared" si="3"/>
        <v>0</v>
      </c>
      <c r="W21" t="str">
        <f t="shared" si="4"/>
        <v>Yes</v>
      </c>
    </row>
    <row r="22" spans="1:23">
      <c r="A22" t="s">
        <v>99</v>
      </c>
      <c r="B22" t="s">
        <v>100</v>
      </c>
      <c r="C22" t="s">
        <v>101</v>
      </c>
      <c r="D22">
        <v>33</v>
      </c>
      <c r="E22">
        <v>38</v>
      </c>
      <c r="F22">
        <v>38</v>
      </c>
      <c r="G22">
        <v>3420</v>
      </c>
      <c r="H22">
        <v>38</v>
      </c>
      <c r="I22">
        <v>51</v>
      </c>
      <c r="J22">
        <v>1.34</v>
      </c>
      <c r="K22" s="5">
        <v>149</v>
      </c>
      <c r="L22" s="5">
        <v>98</v>
      </c>
      <c r="M22" s="6">
        <v>65.8</v>
      </c>
      <c r="N22" s="5">
        <v>9</v>
      </c>
      <c r="O22" s="5">
        <v>23.7</v>
      </c>
      <c r="P22" s="5">
        <v>4</v>
      </c>
      <c r="Q22" s="5">
        <v>3</v>
      </c>
      <c r="R22" s="5">
        <v>0</v>
      </c>
      <c r="S22" s="5">
        <f t="shared" si="0"/>
        <v>6.7164179104477606</v>
      </c>
      <c r="T22" s="5">
        <f t="shared" si="1"/>
        <v>73.134328358208947</v>
      </c>
      <c r="U22" s="5">
        <f t="shared" si="2"/>
        <v>111.19402985074626</v>
      </c>
      <c r="V22" s="7">
        <f t="shared" si="3"/>
        <v>0</v>
      </c>
      <c r="W22" t="str">
        <f t="shared" si="4"/>
        <v>Yes</v>
      </c>
    </row>
    <row r="23" spans="1:23">
      <c r="A23" t="s">
        <v>103</v>
      </c>
      <c r="B23" t="s">
        <v>104</v>
      </c>
      <c r="C23" t="s">
        <v>30</v>
      </c>
      <c r="D23">
        <v>24</v>
      </c>
      <c r="E23">
        <v>10</v>
      </c>
      <c r="F23">
        <v>10</v>
      </c>
      <c r="G23">
        <v>867</v>
      </c>
      <c r="H23">
        <v>9.6</v>
      </c>
      <c r="I23">
        <v>18</v>
      </c>
      <c r="J23">
        <v>1.87</v>
      </c>
      <c r="K23" s="5">
        <v>51</v>
      </c>
      <c r="L23" s="5">
        <v>33</v>
      </c>
      <c r="M23" s="6">
        <v>64.7</v>
      </c>
      <c r="N23" s="5">
        <v>2</v>
      </c>
      <c r="O23" s="5">
        <v>20</v>
      </c>
      <c r="P23" s="5">
        <v>2</v>
      </c>
      <c r="Q23" s="5">
        <v>1</v>
      </c>
      <c r="R23" s="5">
        <v>1</v>
      </c>
      <c r="S23" s="5">
        <f t="shared" si="0"/>
        <v>1.0695187165775399</v>
      </c>
      <c r="T23" s="5">
        <f t="shared" si="1"/>
        <v>17.647058823529409</v>
      </c>
      <c r="U23" s="5">
        <f t="shared" si="2"/>
        <v>27.27272727272727</v>
      </c>
      <c r="V23" s="7">
        <f t="shared" si="3"/>
        <v>0.5</v>
      </c>
      <c r="W23" t="str">
        <f t="shared" si="4"/>
        <v>No</v>
      </c>
    </row>
    <row r="24" spans="1:23">
      <c r="A24" t="s">
        <v>106</v>
      </c>
      <c r="B24" t="s">
        <v>45</v>
      </c>
      <c r="C24" t="s">
        <v>54</v>
      </c>
      <c r="D24">
        <v>32</v>
      </c>
      <c r="E24">
        <v>32</v>
      </c>
      <c r="F24">
        <v>32</v>
      </c>
      <c r="G24">
        <v>2835</v>
      </c>
      <c r="H24">
        <v>31.5</v>
      </c>
      <c r="I24">
        <v>39</v>
      </c>
      <c r="J24">
        <v>1.24</v>
      </c>
      <c r="K24" s="5">
        <v>134</v>
      </c>
      <c r="L24" s="5">
        <v>95</v>
      </c>
      <c r="M24" s="6">
        <v>70.900000000000006</v>
      </c>
      <c r="N24" s="5">
        <v>8</v>
      </c>
      <c r="O24" s="5">
        <v>25</v>
      </c>
      <c r="P24" s="5">
        <v>1</v>
      </c>
      <c r="Q24" s="5">
        <v>0</v>
      </c>
      <c r="R24" s="5">
        <v>1</v>
      </c>
      <c r="S24" s="5">
        <f t="shared" si="0"/>
        <v>6.4516129032258069</v>
      </c>
      <c r="T24" s="5">
        <f t="shared" si="1"/>
        <v>76.612903225806448</v>
      </c>
      <c r="U24" s="5">
        <f t="shared" si="2"/>
        <v>108.06451612903226</v>
      </c>
      <c r="V24" s="7">
        <f t="shared" si="3"/>
        <v>1</v>
      </c>
      <c r="W24" t="str">
        <f t="shared" si="4"/>
        <v>Yes</v>
      </c>
    </row>
    <row r="25" spans="1:23">
      <c r="A25" t="s">
        <v>108</v>
      </c>
      <c r="B25" t="s">
        <v>100</v>
      </c>
      <c r="C25" t="s">
        <v>74</v>
      </c>
      <c r="D25">
        <v>32</v>
      </c>
      <c r="E25">
        <v>3</v>
      </c>
      <c r="F25">
        <v>3</v>
      </c>
      <c r="G25">
        <v>270</v>
      </c>
      <c r="H25">
        <v>3</v>
      </c>
      <c r="I25">
        <v>4</v>
      </c>
      <c r="J25">
        <v>1.33</v>
      </c>
      <c r="K25" s="5">
        <v>12</v>
      </c>
      <c r="L25" s="5">
        <v>8</v>
      </c>
      <c r="M25" s="6">
        <v>66.7</v>
      </c>
      <c r="N25" s="5">
        <v>1</v>
      </c>
      <c r="O25" s="5">
        <v>33.299999999999997</v>
      </c>
      <c r="P25" s="5">
        <v>0</v>
      </c>
      <c r="Q25" s="5">
        <v>0</v>
      </c>
      <c r="R25" s="5">
        <v>0</v>
      </c>
      <c r="S25" s="5">
        <f t="shared" si="0"/>
        <v>0.75187969924812026</v>
      </c>
      <c r="T25" s="5">
        <f t="shared" si="1"/>
        <v>6.0150375939849621</v>
      </c>
      <c r="U25" s="5">
        <f t="shared" si="2"/>
        <v>9.022556390977444</v>
      </c>
      <c r="V25" s="7">
        <f t="shared" si="3"/>
        <v>0</v>
      </c>
      <c r="W25" t="str">
        <f t="shared" si="4"/>
        <v>No</v>
      </c>
    </row>
    <row r="26" spans="1:23">
      <c r="A26" t="s">
        <v>110</v>
      </c>
      <c r="B26" t="s">
        <v>28</v>
      </c>
      <c r="C26" t="s">
        <v>58</v>
      </c>
      <c r="D26">
        <v>27</v>
      </c>
      <c r="E26">
        <v>16</v>
      </c>
      <c r="F26">
        <v>16</v>
      </c>
      <c r="G26">
        <v>1440</v>
      </c>
      <c r="H26">
        <v>16</v>
      </c>
      <c r="I26">
        <v>29</v>
      </c>
      <c r="J26">
        <v>1.81</v>
      </c>
      <c r="K26" s="5">
        <v>67</v>
      </c>
      <c r="L26" s="5">
        <v>38</v>
      </c>
      <c r="M26" s="6">
        <v>56.7</v>
      </c>
      <c r="N26" s="5">
        <v>3</v>
      </c>
      <c r="O26" s="5">
        <v>18.8</v>
      </c>
      <c r="P26" s="5">
        <v>4</v>
      </c>
      <c r="Q26" s="5">
        <v>4</v>
      </c>
      <c r="R26" s="5">
        <v>0</v>
      </c>
      <c r="S26" s="5">
        <f t="shared" si="0"/>
        <v>1.6574585635359116</v>
      </c>
      <c r="T26" s="5">
        <f t="shared" si="1"/>
        <v>20.994475138121548</v>
      </c>
      <c r="U26" s="5">
        <f t="shared" si="2"/>
        <v>37.016574585635361</v>
      </c>
      <c r="V26" s="7">
        <f t="shared" si="3"/>
        <v>0</v>
      </c>
      <c r="W26" t="str">
        <f t="shared" si="4"/>
        <v>Yes</v>
      </c>
    </row>
    <row r="27" spans="1:23">
      <c r="A27" t="s">
        <v>112</v>
      </c>
      <c r="B27" t="s">
        <v>113</v>
      </c>
      <c r="C27" t="s">
        <v>114</v>
      </c>
      <c r="D27">
        <v>25</v>
      </c>
      <c r="E27">
        <v>38</v>
      </c>
      <c r="F27">
        <v>38</v>
      </c>
      <c r="G27">
        <v>3420</v>
      </c>
      <c r="H27">
        <v>38</v>
      </c>
      <c r="I27">
        <v>54</v>
      </c>
      <c r="J27">
        <v>1.42</v>
      </c>
      <c r="K27" s="5">
        <v>163</v>
      </c>
      <c r="L27" s="5">
        <v>109</v>
      </c>
      <c r="M27" s="6">
        <v>66.900000000000006</v>
      </c>
      <c r="N27" s="5">
        <v>11</v>
      </c>
      <c r="O27" s="5">
        <v>28.9</v>
      </c>
      <c r="P27" s="5">
        <v>6</v>
      </c>
      <c r="Q27" s="5">
        <v>6</v>
      </c>
      <c r="R27" s="5">
        <v>0</v>
      </c>
      <c r="S27" s="5">
        <f t="shared" si="0"/>
        <v>7.746478873239437</v>
      </c>
      <c r="T27" s="5">
        <f t="shared" si="1"/>
        <v>76.760563380281695</v>
      </c>
      <c r="U27" s="5">
        <f t="shared" si="2"/>
        <v>114.78873239436621</v>
      </c>
      <c r="V27" s="7">
        <f t="shared" si="3"/>
        <v>0</v>
      </c>
      <c r="W27" t="str">
        <f t="shared" si="4"/>
        <v>Yes</v>
      </c>
    </row>
    <row r="28" spans="1:23">
      <c r="A28" t="s">
        <v>116</v>
      </c>
      <c r="B28" t="s">
        <v>49</v>
      </c>
      <c r="C28" t="s">
        <v>117</v>
      </c>
      <c r="D28">
        <v>31</v>
      </c>
      <c r="E28">
        <v>38</v>
      </c>
      <c r="F28">
        <v>38</v>
      </c>
      <c r="G28">
        <v>3420</v>
      </c>
      <c r="H28">
        <v>38</v>
      </c>
      <c r="I28">
        <v>50</v>
      </c>
      <c r="J28">
        <v>1.32</v>
      </c>
      <c r="K28" s="5">
        <v>149</v>
      </c>
      <c r="L28" s="5">
        <v>99</v>
      </c>
      <c r="M28" s="6">
        <v>66.400000000000006</v>
      </c>
      <c r="N28" s="5">
        <v>11</v>
      </c>
      <c r="O28" s="5">
        <v>28.9</v>
      </c>
      <c r="P28" s="5">
        <v>4</v>
      </c>
      <c r="Q28" s="5">
        <v>3</v>
      </c>
      <c r="R28" s="5">
        <v>1</v>
      </c>
      <c r="S28" s="5">
        <f t="shared" si="0"/>
        <v>8.3333333333333321</v>
      </c>
      <c r="T28" s="5">
        <f t="shared" si="1"/>
        <v>75</v>
      </c>
      <c r="U28" s="5">
        <f t="shared" si="2"/>
        <v>112.87878787878788</v>
      </c>
      <c r="V28" s="7">
        <f t="shared" si="3"/>
        <v>0.25</v>
      </c>
      <c r="W28" t="str">
        <f t="shared" si="4"/>
        <v>Yes</v>
      </c>
    </row>
    <row r="29" spans="1:23">
      <c r="A29" t="s">
        <v>119</v>
      </c>
      <c r="B29" t="s">
        <v>49</v>
      </c>
      <c r="C29" t="s">
        <v>120</v>
      </c>
      <c r="D29">
        <v>33</v>
      </c>
      <c r="E29">
        <v>27</v>
      </c>
      <c r="F29">
        <v>27</v>
      </c>
      <c r="G29">
        <v>2416</v>
      </c>
      <c r="H29">
        <v>26.8</v>
      </c>
      <c r="I29">
        <v>38</v>
      </c>
      <c r="J29">
        <v>1.42</v>
      </c>
      <c r="K29" s="5">
        <v>127</v>
      </c>
      <c r="L29" s="5">
        <v>89</v>
      </c>
      <c r="M29" s="6">
        <v>70.099999999999994</v>
      </c>
      <c r="N29" s="5">
        <v>7</v>
      </c>
      <c r="O29" s="5">
        <v>25.9</v>
      </c>
      <c r="P29" s="5">
        <v>2</v>
      </c>
      <c r="Q29" s="5">
        <v>2</v>
      </c>
      <c r="R29" s="5">
        <v>0</v>
      </c>
      <c r="S29" s="5">
        <f t="shared" si="0"/>
        <v>4.9295774647887329</v>
      </c>
      <c r="T29" s="5">
        <f t="shared" si="1"/>
        <v>62.676056338028175</v>
      </c>
      <c r="U29" s="5">
        <f t="shared" si="2"/>
        <v>89.436619718309871</v>
      </c>
      <c r="V29" s="7">
        <f t="shared" si="3"/>
        <v>0</v>
      </c>
      <c r="W29" t="str">
        <f t="shared" si="4"/>
        <v>Yes</v>
      </c>
    </row>
    <row r="30" spans="1:23">
      <c r="A30" t="s">
        <v>122</v>
      </c>
      <c r="B30" t="s">
        <v>49</v>
      </c>
      <c r="C30" t="s">
        <v>120</v>
      </c>
      <c r="D30">
        <v>27</v>
      </c>
      <c r="E30">
        <v>12</v>
      </c>
      <c r="F30">
        <v>11</v>
      </c>
      <c r="G30">
        <v>1004</v>
      </c>
      <c r="H30">
        <v>11.2</v>
      </c>
      <c r="I30">
        <v>17</v>
      </c>
      <c r="J30">
        <v>1.52</v>
      </c>
      <c r="K30" s="5">
        <v>41</v>
      </c>
      <c r="L30" s="5">
        <v>24</v>
      </c>
      <c r="M30" s="6">
        <v>58.5</v>
      </c>
      <c r="N30" s="5">
        <v>1</v>
      </c>
      <c r="O30" s="5">
        <v>9.1</v>
      </c>
      <c r="P30" s="5">
        <v>3</v>
      </c>
      <c r="Q30" s="5">
        <v>3</v>
      </c>
      <c r="R30" s="5">
        <v>0</v>
      </c>
      <c r="S30" s="5">
        <f t="shared" si="0"/>
        <v>0.65789473684210531</v>
      </c>
      <c r="T30" s="5">
        <f t="shared" si="1"/>
        <v>15.789473684210526</v>
      </c>
      <c r="U30" s="5">
        <f t="shared" si="2"/>
        <v>26.973684210526315</v>
      </c>
      <c r="V30" s="7">
        <f t="shared" si="3"/>
        <v>0</v>
      </c>
      <c r="W30" t="str">
        <f t="shared" si="4"/>
        <v>Yes</v>
      </c>
    </row>
    <row r="31" spans="1:23">
      <c r="A31" t="s">
        <v>124</v>
      </c>
      <c r="B31" t="s">
        <v>37</v>
      </c>
      <c r="C31" t="s">
        <v>38</v>
      </c>
      <c r="D31">
        <v>29</v>
      </c>
      <c r="E31">
        <v>37</v>
      </c>
      <c r="F31">
        <v>37</v>
      </c>
      <c r="G31">
        <v>3330</v>
      </c>
      <c r="H31">
        <v>37</v>
      </c>
      <c r="I31">
        <v>26</v>
      </c>
      <c r="J31">
        <v>0.7</v>
      </c>
      <c r="K31" s="5">
        <v>86</v>
      </c>
      <c r="L31" s="5">
        <v>59</v>
      </c>
      <c r="M31" s="6">
        <v>69.8</v>
      </c>
      <c r="N31" s="5">
        <v>19</v>
      </c>
      <c r="O31" s="5">
        <v>51.4</v>
      </c>
      <c r="P31" s="5">
        <v>0</v>
      </c>
      <c r="Q31" s="5">
        <v>0</v>
      </c>
      <c r="R31" s="5">
        <v>0</v>
      </c>
      <c r="S31" s="5">
        <f t="shared" si="0"/>
        <v>27.142857142857146</v>
      </c>
      <c r="T31" s="5">
        <f t="shared" si="1"/>
        <v>84.285714285714292</v>
      </c>
      <c r="U31" s="5">
        <f t="shared" si="2"/>
        <v>122.85714285714286</v>
      </c>
      <c r="V31" s="7">
        <f t="shared" si="3"/>
        <v>0</v>
      </c>
      <c r="W31" t="str">
        <f t="shared" si="4"/>
        <v>Yes</v>
      </c>
    </row>
    <row r="32" spans="1:23">
      <c r="A32" t="s">
        <v>126</v>
      </c>
      <c r="B32" t="s">
        <v>53</v>
      </c>
      <c r="C32" t="s">
        <v>70</v>
      </c>
      <c r="D32">
        <v>22</v>
      </c>
      <c r="E32">
        <v>35</v>
      </c>
      <c r="F32">
        <v>35</v>
      </c>
      <c r="G32">
        <v>3150</v>
      </c>
      <c r="H32">
        <v>35</v>
      </c>
      <c r="I32">
        <v>46</v>
      </c>
      <c r="J32">
        <v>1.31</v>
      </c>
      <c r="K32" s="5">
        <v>154</v>
      </c>
      <c r="L32" s="5">
        <v>108</v>
      </c>
      <c r="M32" s="6">
        <v>70.099999999999994</v>
      </c>
      <c r="N32" s="5">
        <v>10</v>
      </c>
      <c r="O32" s="5">
        <v>28.6</v>
      </c>
      <c r="P32" s="5">
        <v>3</v>
      </c>
      <c r="Q32" s="5">
        <v>2</v>
      </c>
      <c r="R32" s="5">
        <v>1</v>
      </c>
      <c r="S32" s="5">
        <f t="shared" si="0"/>
        <v>7.6335877862595414</v>
      </c>
      <c r="T32" s="5">
        <f t="shared" si="1"/>
        <v>82.44274809160305</v>
      </c>
      <c r="U32" s="5">
        <f t="shared" si="2"/>
        <v>117.55725190839694</v>
      </c>
      <c r="V32" s="7">
        <f t="shared" si="3"/>
        <v>0.33333333333333331</v>
      </c>
      <c r="W32" t="str">
        <f t="shared" si="4"/>
        <v>Yes</v>
      </c>
    </row>
    <row r="33" spans="1:23">
      <c r="A33" t="s">
        <v>128</v>
      </c>
      <c r="B33" t="s">
        <v>129</v>
      </c>
      <c r="C33" t="s">
        <v>50</v>
      </c>
      <c r="D33">
        <v>32</v>
      </c>
      <c r="E33">
        <v>23</v>
      </c>
      <c r="F33">
        <v>23</v>
      </c>
      <c r="G33">
        <v>2070</v>
      </c>
      <c r="H33">
        <v>23</v>
      </c>
      <c r="I33">
        <v>37</v>
      </c>
      <c r="J33">
        <v>1.61</v>
      </c>
      <c r="K33" s="5">
        <v>102</v>
      </c>
      <c r="L33" s="5">
        <v>65</v>
      </c>
      <c r="M33" s="6">
        <v>63.7</v>
      </c>
      <c r="N33" s="5">
        <v>4</v>
      </c>
      <c r="O33" s="5">
        <v>17.399999999999999</v>
      </c>
      <c r="P33" s="5">
        <v>3</v>
      </c>
      <c r="Q33" s="5">
        <v>3</v>
      </c>
      <c r="R33" s="5">
        <v>0</v>
      </c>
      <c r="S33" s="5">
        <f t="shared" si="0"/>
        <v>2.4844720496894408</v>
      </c>
      <c r="T33" s="5">
        <f t="shared" si="1"/>
        <v>40.37267080745341</v>
      </c>
      <c r="U33" s="5">
        <f t="shared" si="2"/>
        <v>63.354037267080741</v>
      </c>
      <c r="V33" s="7">
        <f t="shared" si="3"/>
        <v>0</v>
      </c>
      <c r="W33" t="str">
        <f t="shared" si="4"/>
        <v>Yes</v>
      </c>
    </row>
    <row r="34" spans="1:23">
      <c r="A34" t="s">
        <v>131</v>
      </c>
      <c r="B34" t="s">
        <v>37</v>
      </c>
      <c r="C34" t="s">
        <v>86</v>
      </c>
      <c r="D34">
        <v>27</v>
      </c>
      <c r="E34">
        <v>35</v>
      </c>
      <c r="F34">
        <v>35</v>
      </c>
      <c r="G34">
        <v>3039</v>
      </c>
      <c r="H34">
        <v>33.799999999999997</v>
      </c>
      <c r="I34">
        <v>49</v>
      </c>
      <c r="J34">
        <v>1.45</v>
      </c>
      <c r="K34" s="5">
        <v>147</v>
      </c>
      <c r="L34" s="5">
        <v>97</v>
      </c>
      <c r="M34" s="6">
        <v>66.7</v>
      </c>
      <c r="N34" s="5">
        <v>9</v>
      </c>
      <c r="O34" s="5">
        <v>25.7</v>
      </c>
      <c r="P34" s="5">
        <v>2</v>
      </c>
      <c r="Q34" s="5">
        <v>2</v>
      </c>
      <c r="R34" s="5">
        <v>0</v>
      </c>
      <c r="S34" s="5">
        <f t="shared" si="0"/>
        <v>6.2068965517241379</v>
      </c>
      <c r="T34" s="5">
        <f t="shared" si="1"/>
        <v>66.896551724137936</v>
      </c>
      <c r="U34" s="5">
        <f t="shared" si="2"/>
        <v>101.37931034482759</v>
      </c>
      <c r="V34" s="7">
        <f t="shared" si="3"/>
        <v>0</v>
      </c>
      <c r="W34" t="str">
        <f t="shared" si="4"/>
        <v>Yes</v>
      </c>
    </row>
    <row r="35" spans="1:23">
      <c r="A35" t="s">
        <v>133</v>
      </c>
      <c r="B35" t="s">
        <v>97</v>
      </c>
      <c r="C35" t="s">
        <v>74</v>
      </c>
      <c r="D35">
        <v>33</v>
      </c>
      <c r="E35">
        <v>31</v>
      </c>
      <c r="F35">
        <v>30</v>
      </c>
      <c r="G35">
        <v>2668</v>
      </c>
      <c r="H35">
        <v>29.6</v>
      </c>
      <c r="I35">
        <v>39</v>
      </c>
      <c r="J35">
        <v>1.32</v>
      </c>
      <c r="K35" s="5">
        <v>132</v>
      </c>
      <c r="L35" s="5">
        <v>93</v>
      </c>
      <c r="M35" s="6">
        <v>70.5</v>
      </c>
      <c r="N35" s="5">
        <v>7</v>
      </c>
      <c r="O35" s="5">
        <v>23.3</v>
      </c>
      <c r="P35" s="5">
        <v>5</v>
      </c>
      <c r="Q35" s="5">
        <v>4</v>
      </c>
      <c r="R35" s="5">
        <v>1</v>
      </c>
      <c r="S35" s="5">
        <f t="shared" si="0"/>
        <v>5.3030303030303028</v>
      </c>
      <c r="T35" s="5">
        <f t="shared" si="1"/>
        <v>70.454545454545453</v>
      </c>
      <c r="U35" s="5">
        <f t="shared" si="2"/>
        <v>100</v>
      </c>
      <c r="V35" s="7">
        <f t="shared" si="3"/>
        <v>0.2</v>
      </c>
      <c r="W35" t="str">
        <f t="shared" si="4"/>
        <v>Yes</v>
      </c>
    </row>
    <row r="36" spans="1:23">
      <c r="A36" t="s">
        <v>135</v>
      </c>
      <c r="B36" t="s">
        <v>49</v>
      </c>
      <c r="C36" t="s">
        <v>62</v>
      </c>
      <c r="D36">
        <v>22</v>
      </c>
      <c r="E36">
        <v>4</v>
      </c>
      <c r="F36">
        <v>4</v>
      </c>
      <c r="G36">
        <v>360</v>
      </c>
      <c r="H36">
        <v>4</v>
      </c>
      <c r="I36">
        <v>6</v>
      </c>
      <c r="J36">
        <v>1.5</v>
      </c>
      <c r="K36" s="5">
        <v>20</v>
      </c>
      <c r="L36" s="5">
        <v>14</v>
      </c>
      <c r="M36" s="6">
        <v>70</v>
      </c>
      <c r="N36" s="5">
        <v>1</v>
      </c>
      <c r="O36" s="5">
        <v>25</v>
      </c>
      <c r="P36" s="5">
        <v>1</v>
      </c>
      <c r="Q36" s="5">
        <v>1</v>
      </c>
      <c r="R36" s="5">
        <v>0</v>
      </c>
      <c r="S36" s="5">
        <f t="shared" si="0"/>
        <v>0.66666666666666663</v>
      </c>
      <c r="T36" s="5">
        <f t="shared" si="1"/>
        <v>9.3333333333333339</v>
      </c>
      <c r="U36" s="5">
        <f t="shared" si="2"/>
        <v>13.333333333333334</v>
      </c>
      <c r="V36" s="7">
        <f t="shared" si="3"/>
        <v>0</v>
      </c>
      <c r="W36" t="str">
        <f t="shared" si="4"/>
        <v>No</v>
      </c>
    </row>
    <row r="37" spans="1:23">
      <c r="A37" t="s">
        <v>137</v>
      </c>
      <c r="B37" t="s">
        <v>138</v>
      </c>
      <c r="C37" t="s">
        <v>90</v>
      </c>
      <c r="D37">
        <v>23</v>
      </c>
      <c r="E37">
        <v>1</v>
      </c>
      <c r="F37">
        <v>1</v>
      </c>
      <c r="G37">
        <v>90</v>
      </c>
      <c r="H37">
        <v>1</v>
      </c>
      <c r="I37">
        <v>3</v>
      </c>
      <c r="J37">
        <v>3</v>
      </c>
      <c r="K37" s="5">
        <v>4</v>
      </c>
      <c r="L37" s="5">
        <v>1</v>
      </c>
      <c r="M37" s="6">
        <v>25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f t="shared" si="0"/>
        <v>0</v>
      </c>
      <c r="T37" s="5">
        <f t="shared" si="1"/>
        <v>0.33333333333333331</v>
      </c>
      <c r="U37" s="5">
        <f t="shared" si="2"/>
        <v>1.3333333333333333</v>
      </c>
      <c r="V37" s="7">
        <f t="shared" si="3"/>
        <v>0</v>
      </c>
      <c r="W37" t="str">
        <f t="shared" si="4"/>
        <v>No</v>
      </c>
    </row>
    <row r="38" spans="1:23">
      <c r="A38" t="s">
        <v>140</v>
      </c>
      <c r="B38" t="s">
        <v>53</v>
      </c>
      <c r="C38" t="s">
        <v>141</v>
      </c>
      <c r="D38">
        <v>22</v>
      </c>
      <c r="E38">
        <v>38</v>
      </c>
      <c r="F38">
        <v>38</v>
      </c>
      <c r="G38">
        <v>3420</v>
      </c>
      <c r="H38">
        <v>38</v>
      </c>
      <c r="I38">
        <v>46</v>
      </c>
      <c r="J38">
        <v>1.21</v>
      </c>
      <c r="K38" s="5">
        <v>151</v>
      </c>
      <c r="L38" s="5">
        <v>103</v>
      </c>
      <c r="M38" s="6">
        <v>69.5</v>
      </c>
      <c r="N38" s="5">
        <v>10</v>
      </c>
      <c r="O38" s="5">
        <v>26.3</v>
      </c>
      <c r="P38" s="5">
        <v>6</v>
      </c>
      <c r="Q38" s="5">
        <v>5</v>
      </c>
      <c r="R38" s="5">
        <v>1</v>
      </c>
      <c r="S38" s="5">
        <f t="shared" si="0"/>
        <v>8.2644628099173563</v>
      </c>
      <c r="T38" s="5">
        <f t="shared" si="1"/>
        <v>85.123966942148769</v>
      </c>
      <c r="U38" s="5">
        <f t="shared" si="2"/>
        <v>124.79338842975207</v>
      </c>
      <c r="V38" s="7">
        <f t="shared" si="3"/>
        <v>0.16666666666666666</v>
      </c>
      <c r="W38" t="str">
        <f t="shared" si="4"/>
        <v>Yes</v>
      </c>
    </row>
    <row r="39" spans="1:23">
      <c r="A39" t="s">
        <v>143</v>
      </c>
      <c r="B39" t="s">
        <v>61</v>
      </c>
      <c r="C39" t="s">
        <v>94</v>
      </c>
      <c r="D39">
        <v>28</v>
      </c>
      <c r="E39">
        <v>31</v>
      </c>
      <c r="F39">
        <v>31</v>
      </c>
      <c r="G39">
        <v>2790</v>
      </c>
      <c r="H39">
        <v>31</v>
      </c>
      <c r="I39">
        <v>50</v>
      </c>
      <c r="J39">
        <v>1.61</v>
      </c>
      <c r="K39" s="5">
        <v>133</v>
      </c>
      <c r="L39" s="5">
        <v>83</v>
      </c>
      <c r="M39" s="6">
        <v>62.4</v>
      </c>
      <c r="N39" s="5">
        <v>7</v>
      </c>
      <c r="O39" s="5">
        <v>22.6</v>
      </c>
      <c r="P39" s="5">
        <v>2</v>
      </c>
      <c r="Q39" s="5">
        <v>2</v>
      </c>
      <c r="R39" s="5">
        <v>0</v>
      </c>
      <c r="S39" s="5">
        <f t="shared" si="0"/>
        <v>4.3478260869565215</v>
      </c>
      <c r="T39" s="5">
        <f t="shared" si="1"/>
        <v>51.552795031055901</v>
      </c>
      <c r="U39" s="5">
        <f t="shared" si="2"/>
        <v>82.608695652173907</v>
      </c>
      <c r="V39" s="7">
        <f t="shared" si="3"/>
        <v>0</v>
      </c>
      <c r="W39" t="str">
        <f t="shared" si="4"/>
        <v>Yes</v>
      </c>
    </row>
    <row r="40" spans="1:23">
      <c r="A40" t="s">
        <v>145</v>
      </c>
      <c r="B40" t="s">
        <v>100</v>
      </c>
      <c r="C40" t="s">
        <v>66</v>
      </c>
      <c r="D40">
        <v>21</v>
      </c>
      <c r="E40">
        <v>3</v>
      </c>
      <c r="F40">
        <v>3</v>
      </c>
      <c r="G40">
        <v>270</v>
      </c>
      <c r="H40">
        <v>3</v>
      </c>
      <c r="I40">
        <v>4</v>
      </c>
      <c r="J40">
        <v>1.33</v>
      </c>
      <c r="K40" s="5">
        <v>14</v>
      </c>
      <c r="L40" s="5">
        <v>10</v>
      </c>
      <c r="M40" s="6">
        <v>71.400000000000006</v>
      </c>
      <c r="N40" s="5">
        <v>0</v>
      </c>
      <c r="O40" s="5">
        <v>0</v>
      </c>
      <c r="P40" s="5">
        <v>1</v>
      </c>
      <c r="Q40" s="5">
        <v>1</v>
      </c>
      <c r="R40" s="5">
        <v>0</v>
      </c>
      <c r="S40" s="5">
        <f t="shared" si="0"/>
        <v>0</v>
      </c>
      <c r="T40" s="5">
        <f t="shared" si="1"/>
        <v>7.518796992481203</v>
      </c>
      <c r="U40" s="5">
        <f t="shared" si="2"/>
        <v>10.526315789473683</v>
      </c>
      <c r="V40" s="7">
        <f t="shared" si="3"/>
        <v>0</v>
      </c>
      <c r="W40" t="str">
        <f t="shared" si="4"/>
        <v>No</v>
      </c>
    </row>
    <row r="41" spans="1:23">
      <c r="A41" t="s">
        <v>147</v>
      </c>
      <c r="B41" t="s">
        <v>49</v>
      </c>
      <c r="C41" t="s">
        <v>30</v>
      </c>
      <c r="D41">
        <v>28</v>
      </c>
      <c r="E41">
        <v>3</v>
      </c>
      <c r="F41">
        <v>2</v>
      </c>
      <c r="G41">
        <v>213</v>
      </c>
      <c r="H41">
        <v>2.4</v>
      </c>
      <c r="I41">
        <v>4</v>
      </c>
      <c r="J41">
        <v>1.69</v>
      </c>
      <c r="K41" s="5">
        <v>13</v>
      </c>
      <c r="L41" s="5">
        <v>9</v>
      </c>
      <c r="M41" s="6">
        <v>69.2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f t="shared" si="0"/>
        <v>0</v>
      </c>
      <c r="T41" s="5">
        <f t="shared" si="1"/>
        <v>5.3254437869822491</v>
      </c>
      <c r="U41" s="5">
        <f t="shared" si="2"/>
        <v>7.6923076923076925</v>
      </c>
      <c r="V41" s="7">
        <f t="shared" si="3"/>
        <v>0</v>
      </c>
      <c r="W41" t="str">
        <f t="shared" si="4"/>
        <v>No</v>
      </c>
    </row>
  </sheetData>
  <conditionalFormatting sqref="W2:W41">
    <cfRule type="expression" dxfId="1" priority="1">
      <formula>W2="Yes"</formula>
    </cfRule>
    <cfRule type="expression" dxfId="0" priority="2">
      <formula>W2="No"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"/>
  <sheetViews>
    <sheetView workbookViewId="0">
      <selection activeCell="D8" sqref="D8"/>
    </sheetView>
  </sheetViews>
  <sheetFormatPr defaultRowHeight="14.25"/>
  <cols>
    <col min="1" max="1" width="31" customWidth="1"/>
    <col min="2" max="2" width="20" customWidth="1"/>
    <col min="3" max="3" width="17.125" bestFit="1" customWidth="1"/>
    <col min="4" max="4" width="15" customWidth="1"/>
    <col min="5" max="5" width="48" customWidth="1"/>
  </cols>
  <sheetData>
    <row r="1" spans="1:5">
      <c r="A1" s="15" t="s">
        <v>154</v>
      </c>
      <c r="B1" s="15"/>
      <c r="C1" s="15"/>
      <c r="D1" s="15"/>
      <c r="E1" s="15"/>
    </row>
    <row r="2" spans="1:5">
      <c r="A2" s="15"/>
      <c r="B2" s="15"/>
      <c r="C2" s="15"/>
      <c r="D2" s="15"/>
      <c r="E2" s="15"/>
    </row>
    <row r="4" spans="1:5" ht="30">
      <c r="A4" s="8" t="s">
        <v>155</v>
      </c>
      <c r="B4" s="9" t="s">
        <v>156</v>
      </c>
      <c r="C4" s="9" t="s">
        <v>157</v>
      </c>
      <c r="D4" s="9" t="s">
        <v>158</v>
      </c>
      <c r="E4" s="10" t="s">
        <v>159</v>
      </c>
    </row>
    <row r="5" spans="1:5" ht="28.5">
      <c r="A5" s="11" t="s">
        <v>160</v>
      </c>
      <c r="B5" s="5">
        <v>0.54269417017478649</v>
      </c>
      <c r="C5" s="5">
        <f t="shared" ref="C5:C10" si="0">ABS(B5)</f>
        <v>0.54269417017478649</v>
      </c>
      <c r="D5" t="str">
        <f>IF(C2&gt;=0.7,"Strong",IF(C2&gt;=0.4,"Moderate","Moderate"))</f>
        <v>Moderate</v>
      </c>
      <c r="E5" s="1" t="s">
        <v>161</v>
      </c>
    </row>
    <row r="6" spans="1:5" ht="28.5">
      <c r="A6" s="11" t="s">
        <v>162</v>
      </c>
      <c r="B6" s="5">
        <v>-0.84263645341600002</v>
      </c>
      <c r="C6" s="5">
        <f t="shared" si="0"/>
        <v>0.84263645341600002</v>
      </c>
      <c r="D6" t="str">
        <f>IF(C6="","",IF(C6&gt;=0.7,"Strong",IF(C6&gt;=0.4,"Moderate",IF(C6&gt;=0.1,"Weak","Very weak"))))</f>
        <v>Strong</v>
      </c>
      <c r="E6" s="1" t="s">
        <v>161</v>
      </c>
    </row>
    <row r="7" spans="1:5" ht="28.5">
      <c r="A7" s="11" t="s">
        <v>163</v>
      </c>
      <c r="B7" s="5">
        <v>0.67139075507233203</v>
      </c>
      <c r="C7" s="5">
        <f t="shared" si="0"/>
        <v>0.67139075507233203</v>
      </c>
      <c r="D7" t="str">
        <f>IF(C7="","",IF(C7&gt;=0.7,"Strong",IF(C7&gt;=0.4,"Moderate",IF(C7&gt;=0.1,"Weak","Very weak"))))</f>
        <v>Moderate</v>
      </c>
      <c r="E7" s="1" t="s">
        <v>161</v>
      </c>
    </row>
    <row r="8" spans="1:5" ht="28.5">
      <c r="A8" s="11" t="s">
        <v>164</v>
      </c>
      <c r="B8" s="5">
        <v>0.66234144041702903</v>
      </c>
      <c r="C8" s="5">
        <f>ABS(B8)</f>
        <v>0.66234144041702903</v>
      </c>
      <c r="D8" t="str">
        <f>IF(C8="",C15,IF(C8&gt;=0.7,"Strong",IF(C8&gt;=0.4,"Moderate",IF(C8&gt;=0.1,"Weak","Very weak"))))</f>
        <v>Moderate</v>
      </c>
      <c r="E8" s="1" t="s">
        <v>161</v>
      </c>
    </row>
    <row r="9" spans="1:5" ht="28.5">
      <c r="A9" s="11" t="s">
        <v>165</v>
      </c>
      <c r="B9" s="5">
        <v>0.84551503838910869</v>
      </c>
      <c r="C9" s="5">
        <f t="shared" si="0"/>
        <v>0.84551503838910869</v>
      </c>
      <c r="D9" t="str">
        <f t="shared" ref="D9:D10" si="1">IF(C9="","",IF(C9&gt;=0.7,"Strong",IF(C9&gt;=0.4,"Moderate",IF(C9&gt;=0.1,"Weak","Very weak"))))</f>
        <v>Strong</v>
      </c>
      <c r="E9" s="1" t="s">
        <v>161</v>
      </c>
    </row>
    <row r="10" spans="1:5" ht="28.5">
      <c r="A10" s="12" t="s">
        <v>166</v>
      </c>
      <c r="B10" s="13">
        <v>0.33665382633723578</v>
      </c>
      <c r="C10" s="13">
        <f t="shared" si="0"/>
        <v>0.33665382633723578</v>
      </c>
      <c r="D10" s="14" t="str">
        <f t="shared" si="1"/>
        <v>Weak</v>
      </c>
      <c r="E10" s="2" t="s">
        <v>161</v>
      </c>
    </row>
  </sheetData>
  <mergeCells count="1">
    <mergeCell ref="A1:E2"/>
  </mergeCells>
  <conditionalFormatting sqref="C5:C10">
    <cfRule type="colorScale" priority="1">
      <colorScale>
        <cfvo type="min"/>
        <cfvo type="percentile" val="50"/>
        <cfvo type="max"/>
        <color rgb="FFFCE4D6"/>
        <color rgb="FFFFF2CC"/>
        <color rgb="FFC6E0B4"/>
      </colorScale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36"/>
  <sheetViews>
    <sheetView topLeftCell="A30" workbookViewId="0">
      <selection activeCell="H38" sqref="H38"/>
    </sheetView>
  </sheetViews>
  <sheetFormatPr defaultRowHeight="14.25"/>
  <cols>
    <col min="1" max="12" width="12" customWidth="1"/>
  </cols>
  <sheetData>
    <row r="1" spans="1:12">
      <c r="A1" s="16" t="s">
        <v>167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</row>
    <row r="2" spans="1:12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</row>
    <row r="4" spans="1:12">
      <c r="A4" s="20" t="str">
        <f>"Goalkeepers analysed"&amp;CHAR(10)&amp;COUNTIF('Clean Data'!W2:W41,"Yes")</f>
        <v>Goalkeepers analysed
24</v>
      </c>
      <c r="B4" s="21"/>
      <c r="C4" s="22"/>
      <c r="E4" s="20" t="str">
        <f>"Strongest available metric"&amp;CHAR(10)&amp;INDEX(Correlations!A5:A10,MATCH(MAX(Correlations!C5:C10),Correlations!C5:C10,0))</f>
        <v>Strongest available metric
Clean-sheet percentage</v>
      </c>
      <c r="F4" s="21"/>
      <c r="G4" s="22"/>
      <c r="I4" s="20" t="str">
        <f>"Highest absolute correlation"&amp;CHAR(10)&amp;TEXT(MAX(Correlations!C5:C10),"0.00")</f>
        <v>Highest absolute correlation
0.85</v>
      </c>
      <c r="J4" s="21"/>
      <c r="K4" s="22"/>
    </row>
    <row r="5" spans="1:12">
      <c r="A5" s="23"/>
      <c r="B5" s="24"/>
      <c r="C5" s="25"/>
      <c r="E5" s="23"/>
      <c r="F5" s="24"/>
      <c r="G5" s="25"/>
      <c r="I5" s="23"/>
      <c r="J5" s="24"/>
      <c r="K5" s="25"/>
    </row>
    <row r="6" spans="1:12">
      <c r="A6" s="23"/>
      <c r="B6" s="24"/>
      <c r="C6" s="25"/>
      <c r="E6" s="23"/>
      <c r="F6" s="24"/>
      <c r="G6" s="25"/>
      <c r="I6" s="23"/>
      <c r="J6" s="24"/>
      <c r="K6" s="25"/>
    </row>
    <row r="7" spans="1:12">
      <c r="A7" s="26"/>
      <c r="B7" s="27"/>
      <c r="C7" s="28"/>
      <c r="E7" s="26"/>
      <c r="F7" s="27"/>
      <c r="G7" s="28"/>
      <c r="I7" s="26"/>
      <c r="J7" s="27"/>
      <c r="K7" s="28"/>
    </row>
    <row r="9" spans="1:12" ht="15">
      <c r="A9" s="18" t="s">
        <v>168</v>
      </c>
      <c r="B9" s="18"/>
      <c r="C9" s="18"/>
      <c r="D9" s="18"/>
      <c r="E9" s="18"/>
      <c r="F9" s="18"/>
      <c r="H9" s="18" t="s">
        <v>169</v>
      </c>
      <c r="I9" s="18"/>
      <c r="J9" s="18"/>
      <c r="K9" s="18"/>
      <c r="L9" s="18"/>
    </row>
    <row r="10" spans="1:12">
      <c r="A10" s="17" t="str">
        <f>"The strongest relationship in the available dataset is "&amp;INDEX(Correlations!A5:A10,MATCH(MAX(Correlations!C5:C10),Correlations!C5:C10,0))&amp;". This does not prove causation and should be tested with advanced metrics and team defensive controls."</f>
        <v>The strongest relationship in the available dataset is Clean-sheet percentage. This does not prove causation and should be tested with advanced metrics and team defensive controls.</v>
      </c>
      <c r="B10" s="17"/>
      <c r="C10" s="17"/>
      <c r="D10" s="17"/>
      <c r="E10" s="17"/>
      <c r="F10" s="17"/>
      <c r="H10" s="19" t="s">
        <v>170</v>
      </c>
      <c r="I10" s="19"/>
      <c r="J10" s="19"/>
      <c r="K10" s="19"/>
      <c r="L10" s="19"/>
    </row>
    <row r="11" spans="1:12">
      <c r="A11" s="17"/>
      <c r="B11" s="17"/>
      <c r="C11" s="17"/>
      <c r="D11" s="17"/>
      <c r="E11" s="17"/>
      <c r="F11" s="17"/>
      <c r="H11" s="19"/>
      <c r="I11" s="19"/>
      <c r="J11" s="19"/>
      <c r="K11" s="19"/>
      <c r="L11" s="19"/>
    </row>
    <row r="12" spans="1:12">
      <c r="A12" s="17"/>
      <c r="B12" s="17"/>
      <c r="C12" s="17"/>
      <c r="D12" s="17"/>
      <c r="E12" s="17"/>
      <c r="F12" s="17"/>
      <c r="H12" s="19"/>
      <c r="I12" s="19"/>
      <c r="J12" s="19"/>
      <c r="K12" s="19"/>
      <c r="L12" s="19"/>
    </row>
    <row r="13" spans="1:12">
      <c r="A13" s="17"/>
      <c r="B13" s="17"/>
      <c r="C13" s="17"/>
      <c r="D13" s="17"/>
      <c r="E13" s="17"/>
      <c r="F13" s="17"/>
      <c r="H13" s="19"/>
      <c r="I13" s="19"/>
      <c r="J13" s="19"/>
      <c r="K13" s="19"/>
      <c r="L13" s="19"/>
    </row>
    <row r="14" spans="1:12">
      <c r="A14" s="17"/>
      <c r="B14" s="17"/>
      <c r="C14" s="17"/>
      <c r="D14" s="17"/>
      <c r="E14" s="17"/>
      <c r="F14" s="17"/>
      <c r="H14" s="19"/>
      <c r="I14" s="19"/>
      <c r="J14" s="19"/>
      <c r="K14" s="19"/>
      <c r="L14" s="19"/>
    </row>
    <row r="36" spans="11:11">
      <c r="K36" t="s">
        <v>171</v>
      </c>
    </row>
  </sheetData>
  <mergeCells count="8">
    <mergeCell ref="A10:F14"/>
    <mergeCell ref="H9:L9"/>
    <mergeCell ref="H10:L14"/>
    <mergeCell ref="A1:L2"/>
    <mergeCell ref="A4:C7"/>
    <mergeCell ref="E4:G7"/>
    <mergeCell ref="I4:K7"/>
    <mergeCell ref="A9:F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 Data</vt:lpstr>
      <vt:lpstr>Clean Data</vt:lpstr>
      <vt:lpstr>Correlations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NICK BLACK</cp:lastModifiedBy>
  <dcterms:modified xsi:type="dcterms:W3CDTF">2026-07-22T22:27:11Z</dcterms:modified>
</cp:coreProperties>
</file>